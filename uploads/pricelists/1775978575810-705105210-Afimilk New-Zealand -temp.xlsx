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 - New\Windsurff invoice\"/>
    </mc:Choice>
  </mc:AlternateContent>
  <xr:revisionPtr revIDLastSave="0" documentId="8_{D76142E8-1AAB-4237-902D-0FB7AC7B4626}" xr6:coauthVersionLast="47" xr6:coauthVersionMax="47" xr10:uidLastSave="{00000000-0000-0000-0000-000000000000}"/>
  <bookViews>
    <workbookView xWindow="-120" yWindow="-120" windowWidth="29040" windowHeight="15720" xr2:uid="{3E2F84F2-311B-414B-AADB-02AFCE723FC9}"/>
  </bookViews>
  <sheets>
    <sheet name="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G23" i="1"/>
  <c r="G20" i="1"/>
  <c r="G22" i="1"/>
  <c r="G17" i="1"/>
  <c r="G9" i="1"/>
  <c r="G11" i="1"/>
  <c r="G26" i="1"/>
  <c r="G2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21" i="1"/>
  <c r="G19" i="1"/>
  <c r="G18" i="1"/>
  <c r="G16" i="1"/>
  <c r="G15" i="1"/>
  <c r="G14" i="1"/>
  <c r="G13" i="1"/>
  <c r="G12" i="1"/>
  <c r="G10" i="1"/>
  <c r="G8" i="1"/>
  <c r="G47" i="1" l="1"/>
  <c r="B55" i="1" s="1"/>
  <c r="G7" i="1"/>
  <c r="G46" i="1" s="1"/>
  <c r="B51" i="1" s="1"/>
  <c r="B58" i="1" l="1"/>
  <c r="B60" i="1" s="1"/>
  <c r="B53" i="1"/>
  <c r="B54" i="1" s="1"/>
</calcChain>
</file>

<file path=xl/sharedStrings.xml><?xml version="1.0" encoding="utf-8"?>
<sst xmlns="http://schemas.openxmlformats.org/spreadsheetml/2006/main" count="215" uniqueCount="97">
  <si>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</si>
  <si>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</si>
  <si>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</si>
  <si>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</si>
  <si>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</si>
  <si>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</si>
  <si>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</si>
  <si>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</si>
  <si>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</si>
  <si>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</si>
  <si>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</si>
  <si>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</si>
  <si>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</si>
  <si>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</si>
  <si>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</si>
  <si>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</si>
  <si>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</si>
  <si>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</si>
  <si>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</si>
  <si>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</si>
  <si>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</si>
  <si>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</si>
  <si>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</si>
  <si>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</si>
  <si>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</si>
  <si>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</si>
  <si>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</si>
  <si>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</si>
  <si>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</si>
  <si>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</si>
  <si>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</si>
  <si>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</si>
  <si>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</si>
  <si>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</si>
  <si>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</si>
  <si>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</si>
  <si>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</si>
  <si>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</si>
  <si>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</si>
  <si>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</si>
  <si>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</si>
  <si>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</si>
  <si>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</si>
  <si>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</si>
  <si>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</si>
  <si>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</si>
  <si>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</si>
  <si>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</si>
  <si>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</si>
  <si>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</si>
  <si>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</si>
  <si>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</si>
  <si>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</si>
  <si>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</si>
  <si>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</si>
  <si>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</si>
  <si>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</si>
  <si>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</si>
  <si>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</si>
  <si>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</si>
  <si>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</si>
  <si>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</si>
  <si>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</si>
  <si>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</si>
  <si>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</si>
  <si>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</si>
  <si>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</si>
  <si>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</si>
  <si>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</si>
  <si>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</si>
  <si>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</si>
  <si>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</si>
  <si>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</si>
  <si>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</si>
  <si>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</si>
  <si>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</si>
  <si>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</si>
  <si>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</si>
  <si>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</si>
  <si>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</si>
  <si>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</si>
  <si>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</si>
  <si>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</si>
  <si>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</si>
  <si>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</si>
  <si>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</si>
  <si>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</si>
  <si>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</si>
  <si>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</si>
  <si>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</si>
  <si>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</si>
  <si>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</si>
  <si>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</si>
  <si>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</si>
  <si>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WH-U</t>
  </si>
  <si>
    <t>Distribution (including GST)</t>
  </si>
  <si>
    <t>AFIMILK New Zealand - 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</si>
</sst>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[$NZD]\ #,##0.00"/>
    <numFmt numFmtId="166" formatCode="&quot;$&quot;#,##0.00_);[Red]\(&quot;$&quot;#,##0.00\)"/>
    <numFmt numFmtId="167" formatCode="[$USD]\ #,##0.00"/>
    <numFmt numFmtId="169" formatCode="\$\ 0.00"/>
    <numFmt numFmtId="170" formatCode="\+0%;\-0%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D9FBFB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29" fillId="0" borderId="0"/>
    <xf numFmtId="0" fontId="3" fillId="0" borderId="0"/>
    <xf numFmtId="0" fontId="4" fillId="0" borderId="9"/>
    <xf numFmtId="0" fontId="5" fillId="0" borderId="10"/>
    <xf numFmtId="0" fontId="6" fillId="0" borderId="11"/>
    <xf numFmtId="0" fontId="6" fillId="0" borderId="0"/>
    <xf numFmtId="0" fontId="7" fillId="5" borderId="0"/>
    <xf numFmtId="0" fontId="8" fillId="6" borderId="0"/>
    <xf numFmtId="0" fontId="9" fillId="7" borderId="0"/>
    <xf numFmtId="0" fontId="10" fillId="8" borderId="12"/>
    <xf numFmtId="0" fontId="11" fillId="9" borderId="13"/>
    <xf numFmtId="0" fontId="12" fillId="9" borderId="12"/>
    <xf numFmtId="0" fontId="13" fillId="0" borderId="14"/>
    <xf numFmtId="0" fontId="14" fillId="10" borderId="15"/>
    <xf numFmtId="0" fontId="15" fillId="0" borderId="0"/>
    <xf numFmtId="0" fontId="16" fillId="0" borderId="0"/>
    <xf numFmtId="0" fontId="1" fillId="0" borderId="16"/>
    <xf numFmtId="0" fontId="17" fillId="11" borderId="0"/>
    <xf numFmtId="0" fontId="2" fillId="12" borderId="0"/>
    <xf numFmtId="0" fontId="2" fillId="13" borderId="0"/>
    <xf numFmtId="0" fontId="2" fillId="14" borderId="0"/>
    <xf numFmtId="0" fontId="17" fillId="15" borderId="0"/>
    <xf numFmtId="0" fontId="2" fillId="16" borderId="0"/>
    <xf numFmtId="0" fontId="2" fillId="17" borderId="0"/>
    <xf numFmtId="0" fontId="2" fillId="18" borderId="0"/>
    <xf numFmtId="0" fontId="17" fillId="19" borderId="0"/>
    <xf numFmtId="0" fontId="2" fillId="20" borderId="0"/>
    <xf numFmtId="0" fontId="2" fillId="21" borderId="0"/>
    <xf numFmtId="0" fontId="2" fillId="22" borderId="0"/>
    <xf numFmtId="0" fontId="17" fillId="23" borderId="0"/>
    <xf numFmtId="0" fontId="2" fillId="24" borderId="0"/>
    <xf numFmtId="0" fontId="2" fillId="25" borderId="0"/>
    <xf numFmtId="0" fontId="2" fillId="26" borderId="0"/>
    <xf numFmtId="0" fontId="17" fillId="27" borderId="0"/>
    <xf numFmtId="0" fontId="2" fillId="28" borderId="0"/>
    <xf numFmtId="0" fontId="2" fillId="29" borderId="0"/>
    <xf numFmtId="0" fontId="2" fillId="30" borderId="0"/>
    <xf numFmtId="0" fontId="17" fillId="31" borderId="0"/>
    <xf numFmtId="0" fontId="2" fillId="32" borderId="0"/>
    <xf numFmtId="0" fontId="2" fillId="33" borderId="0"/>
    <xf numFmtId="0" fontId="2" fillId="34" borderId="0"/>
    <xf numFmtId="0" fontId="29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2" fillId="0" borderId="0"/>
    <xf numFmtId="0" fontId="29" fillId="0" borderId="0"/>
    <xf numFmtId="0" fontId="29" fillId="0" borderId="0"/>
    <xf numFmtId="0" fontId="29" fillId="0" borderId="0"/>
    <xf numFmtId="43" fontId="2" fillId="0" borderId="0"/>
    <xf numFmtId="43" fontId="2" fillId="0" borderId="0"/>
    <xf numFmtId="0" fontId="29" fillId="0" borderId="0"/>
    <xf numFmtId="0" fontId="29" fillId="0" borderId="0"/>
    <xf numFmtId="0" fontId="29" fillId="0" borderId="0"/>
    <xf numFmtId="0" fontId="31" fillId="0" borderId="0" applyNumberFormat="0" applyFill="0" applyBorder="0" applyAlignment="0" applyProtection="0"/>
  </cellStyleXfs>
  <cellXfs count="46">
    <xf numFmtId="0" fontId="0" fillId="0" borderId="0" xfId="0"/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38" borderId="17" xfId="0" applyFont="1" applyFill="1" applyBorder="1" applyAlignment="1">
      <alignment horizontal="center" vertical="center"/>
    </xf>
    <xf numFmtId="165" fontId="20" fillId="38" borderId="17" xfId="0" applyNumberFormat="1" applyFont="1" applyFill="1" applyBorder="1" applyAlignment="1">
      <alignment horizontal="center"/>
    </xf>
    <xf numFmtId="0" fontId="20" fillId="38" borderId="17" xfId="0" applyFont="1" applyFill="1" applyBorder="1"/>
    <xf numFmtId="166" fontId="28" fillId="38" borderId="17" xfId="0" applyNumberFormat="1" applyFont="1" applyFill="1" applyBorder="1" applyAlignment="1">
      <alignment horizontal="center" vertical="center"/>
    </xf>
    <xf numFmtId="0" fontId="21" fillId="2" borderId="3" xfId="0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5" fontId="21" fillId="2" borderId="6" xfId="0" applyNumberFormat="1" applyFont="1" applyFill="1" applyBorder="1"/>
    <xf numFmtId="0" fontId="21" fillId="0" borderId="5" xfId="0" applyFont="1" applyBorder="1"/>
    <xf numFmtId="0" fontId="21" fillId="2" borderId="7" xfId="0" applyFont="1" applyFill="1" applyBorder="1"/>
    <xf numFmtId="165" fontId="21" fillId="2" borderId="8" xfId="0" applyNumberFormat="1" applyFont="1" applyFill="1" applyBorder="1"/>
    <xf numFmtId="0" fontId="20" fillId="2" borderId="3" xfId="0" applyFont="1" applyFill="1" applyBorder="1"/>
    <xf numFmtId="165" fontId="20" fillId="2" borderId="4" xfId="0" applyNumberFormat="1" applyFont="1" applyFill="1" applyBorder="1"/>
    <xf numFmtId="0" fontId="20" fillId="2" borderId="1" xfId="0" applyFont="1" applyFill="1" applyBorder="1"/>
    <xf numFmtId="167" fontId="20" fillId="2" borderId="2" xfId="0" applyNumberFormat="1" applyFont="1" applyFill="1" applyBorder="1"/>
    <xf numFmtId="0" fontId="21" fillId="0" borderId="0" xfId="0" applyFont="1"/>
    <xf numFmtId="0" fontId="21" fillId="4" borderId="5" xfId="0" applyFont="1" applyFill="1" applyBorder="1"/>
    <xf numFmtId="165" fontId="21" fillId="4" borderId="6" xfId="0" applyNumberFormat="1" applyFont="1" applyFill="1" applyBorder="1"/>
    <xf numFmtId="0" fontId="21" fillId="3" borderId="5" xfId="0" applyFont="1" applyFill="1" applyBorder="1"/>
    <xf numFmtId="165" fontId="21" fillId="3" borderId="6" xfId="0" applyNumberFormat="1" applyFont="1" applyFill="1" applyBorder="1"/>
    <xf numFmtId="0" fontId="19" fillId="36" borderId="17" xfId="43" applyFont="1" applyFill="1" applyBorder="1" applyAlignment="1">
      <alignment horizontal="left" vertical="center" wrapText="1"/>
    </xf>
    <xf numFmtId="0" fontId="22" fillId="37" borderId="17" xfId="0" applyFont="1" applyFill="1" applyBorder="1" applyAlignment="1">
      <alignment horizontal="center" vertical="center"/>
    </xf>
    <xf numFmtId="0" fontId="22" fillId="37" borderId="17" xfId="0" applyFont="1" applyFill="1" applyBorder="1" applyAlignment="1">
      <alignment vertical="center"/>
    </xf>
    <xf numFmtId="0" fontId="19" fillId="0" borderId="17" xfId="0" applyFont="1" applyBorder="1" applyAlignment="1">
      <alignment horizontal="left" vertical="center" wrapText="1"/>
    </xf>
    <xf numFmtId="2" fontId="24" fillId="0" borderId="17" xfId="0" applyNumberFormat="1" applyFont="1" applyBorder="1" applyAlignment="1">
      <alignment horizontal="center" vertical="center" wrapText="1"/>
    </xf>
    <xf numFmtId="165" fontId="21" fillId="35" borderId="17" xfId="0" applyNumberFormat="1" applyFont="1" applyFill="1" applyBorder="1" applyAlignment="1">
      <alignment horizontal="center" vertical="center"/>
    </xf>
    <xf numFmtId="0" fontId="21" fillId="0" borderId="17" xfId="0" quotePrefix="1" applyFont="1" applyBorder="1" applyAlignment="1">
      <alignment vertical="center"/>
    </xf>
    <xf numFmtId="0" fontId="25" fillId="0" borderId="17" xfId="1" quotePrefix="1" applyFont="1" applyBorder="1"/>
    <xf numFmtId="0" fontId="23" fillId="0" borderId="17" xfId="0" applyFont="1" applyBorder="1" applyAlignment="1">
      <alignment horizontal="left" vertical="center" wrapText="1"/>
    </xf>
    <xf numFmtId="165" fontId="26" fillId="35" borderId="17" xfId="0" applyNumberFormat="1" applyFont="1" applyFill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0" fillId="2" borderId="17" xfId="0" applyFont="1" applyFill="1" applyBorder="1" applyAlignment="1">
      <alignment horizontal="center"/>
    </xf>
    <xf numFmtId="169" fontId="27" fillId="35" borderId="17" xfId="0" applyNumberFormat="1" applyFont="1" applyFill="1" applyBorder="1" applyAlignment="1">
      <alignment horizontal="center" vertical="center" shrinkToFit="1"/>
    </xf>
    <xf numFmtId="165" fontId="21" fillId="0" borderId="6" xfId="0" applyNumberFormat="1" applyFont="1" applyBorder="1"/>
    <xf numFmtId="170" fontId="27" fillId="0" borderId="17" xfId="0" applyNumberFormat="1" applyFont="1" applyBorder="1" applyAlignment="1">
      <alignment horizontal="center" vertical="center" shrinkToFit="1"/>
    </xf>
    <xf numFmtId="0" fontId="21" fillId="0" borderId="17" xfId="0" applyFont="1" applyBorder="1" applyAlignment="1">
      <alignment horizontal="center" vertical="center"/>
    </xf>
    <xf numFmtId="169" fontId="27" fillId="0" borderId="17" xfId="0" applyNumberFormat="1" applyFont="1" applyBorder="1" applyAlignment="1">
      <alignment horizontal="center" vertical="center" shrinkToFit="1"/>
    </xf>
    <xf numFmtId="0" fontId="31" fillId="0" borderId="0" xfId="66"/>
    <xf numFmtId="0" fontId="20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</cellXfs>
  <cellStyles count="67">
    <cellStyle name="20% - Accent1 2" xfId="19" xr:uid="{00000000-0005-0000-0000-000014000000}"/>
    <cellStyle name="20% - Accent2 2" xfId="23" xr:uid="{00000000-0005-0000-0000-000018000000}"/>
    <cellStyle name="20% - Accent3 2" xfId="27" xr:uid="{00000000-0005-0000-0000-00001C000000}"/>
    <cellStyle name="20% - Accent4 2" xfId="31" xr:uid="{00000000-0005-0000-0000-000020000000}"/>
    <cellStyle name="20% - Accent5 2" xfId="35" xr:uid="{00000000-0005-0000-0000-000024000000}"/>
    <cellStyle name="20% - Accent6 2" xfId="39" xr:uid="{00000000-0005-0000-0000-000028000000}"/>
    <cellStyle name="40% - Accent1 2" xfId="20" xr:uid="{00000000-0005-0000-0000-000015000000}"/>
    <cellStyle name="40% - Accent2 2" xfId="24" xr:uid="{00000000-0005-0000-0000-000019000000}"/>
    <cellStyle name="40% - Accent3 2" xfId="28" xr:uid="{00000000-0005-0000-0000-00001D000000}"/>
    <cellStyle name="40% - Accent4 2" xfId="32" xr:uid="{00000000-0005-0000-0000-000021000000}"/>
    <cellStyle name="40% - Accent5 2" xfId="36" xr:uid="{00000000-0005-0000-0000-000025000000}"/>
    <cellStyle name="40% - Accent6 2" xfId="40" xr:uid="{00000000-0005-0000-0000-000029000000}"/>
    <cellStyle name="60% - Accent1 2" xfId="21" xr:uid="{00000000-0005-0000-0000-000016000000}"/>
    <cellStyle name="60% - Accent2 2" xfId="25" xr:uid="{00000000-0005-0000-0000-00001A000000}"/>
    <cellStyle name="60% - Accent3 2" xfId="29" xr:uid="{00000000-0005-0000-0000-00001E000000}"/>
    <cellStyle name="60% - Accent4 2" xfId="33" xr:uid="{00000000-0005-0000-0000-000022000000}"/>
    <cellStyle name="60% - Accent5 2" xfId="37" xr:uid="{00000000-0005-0000-0000-000026000000}"/>
    <cellStyle name="60% - Accent6 2" xfId="41" xr:uid="{00000000-0005-0000-0000-00002A000000}"/>
    <cellStyle name="Accent1 2" xfId="18" xr:uid="{00000000-0005-0000-0000-000013000000}"/>
    <cellStyle name="Accent2 2" xfId="22" xr:uid="{00000000-0005-0000-0000-000017000000}"/>
    <cellStyle name="Accent3 2" xfId="26" xr:uid="{00000000-0005-0000-0000-00001B000000}"/>
    <cellStyle name="Accent4 2" xfId="30" xr:uid="{00000000-0005-0000-0000-00001F000000}"/>
    <cellStyle name="Accent5 2" xfId="34" xr:uid="{00000000-0005-0000-0000-000023000000}"/>
    <cellStyle name="Accent6 2" xfId="38" xr:uid="{00000000-0005-0000-0000-000027000000}"/>
    <cellStyle name="Bad 2" xfId="8" xr:uid="{00000000-0005-0000-0000-000009000000}"/>
    <cellStyle name="Calculation 2" xfId="12" xr:uid="{00000000-0005-0000-0000-00000D000000}"/>
    <cellStyle name="Check Cell 2" xfId="14" xr:uid="{00000000-0005-0000-0000-00000F000000}"/>
    <cellStyle name="Comma 2" xfId="57" xr:uid="{00000000-0005-0000-0000-00003A000000}"/>
    <cellStyle name="Comma 2 2" xfId="62" xr:uid="{00000000-0005-0000-0000-00003F000000}"/>
    <cellStyle name="Comma 3" xfId="61" xr:uid="{00000000-0005-0000-0000-00003E000000}"/>
    <cellStyle name="Explanatory Text 2" xfId="16" xr:uid="{00000000-0005-0000-0000-000011000000}"/>
    <cellStyle name="Good 2" xfId="7" xr:uid="{00000000-0005-0000-0000-000008000000}"/>
    <cellStyle name="Heading 1 2" xfId="3" xr:uid="{00000000-0005-0000-0000-000004000000}"/>
    <cellStyle name="Heading 2 2" xfId="4" xr:uid="{00000000-0005-0000-0000-000005000000}"/>
    <cellStyle name="Heading 3 2" xfId="5" xr:uid="{00000000-0005-0000-0000-000006000000}"/>
    <cellStyle name="Heading 4 2" xfId="6" xr:uid="{00000000-0005-0000-0000-000007000000}"/>
    <cellStyle name="Hyperlink" xfId="66" builtinId="8"/>
    <cellStyle name="Input 2" xfId="10" xr:uid="{00000000-0005-0000-0000-00000B000000}"/>
    <cellStyle name="Linked Cell 2" xfId="13" xr:uid="{00000000-0005-0000-0000-00000E000000}"/>
    <cellStyle name="Neutral 2" xfId="9" xr:uid="{00000000-0005-0000-0000-00000A000000}"/>
    <cellStyle name="Normal" xfId="0" builtinId="0"/>
    <cellStyle name="Normal 10" xfId="49" xr:uid="{00000000-0005-0000-0000-000032000000}"/>
    <cellStyle name="Normal 10 2" xfId="58" xr:uid="{00000000-0005-0000-0000-00003B000000}"/>
    <cellStyle name="Normal 11" xfId="50" xr:uid="{00000000-0005-0000-0000-000033000000}"/>
    <cellStyle name="Normal 12" xfId="59" xr:uid="{00000000-0005-0000-0000-00003C000000}"/>
    <cellStyle name="Normal 12 2" xfId="63" xr:uid="{00000000-0005-0000-0000-000040000000}"/>
    <cellStyle name="Normal 14" xfId="65" xr:uid="{00000000-0005-0000-0000-000042000000}"/>
    <cellStyle name="Normal 2" xfId="1" xr:uid="{00000000-0005-0000-0000-000001000000}"/>
    <cellStyle name="Normal 3" xfId="44" xr:uid="{00000000-0005-0000-0000-00002D000000}"/>
    <cellStyle name="Normal 3 2" xfId="52" xr:uid="{00000000-0005-0000-0000-000035000000}"/>
    <cellStyle name="Normal 3 3" xfId="60" xr:uid="{00000000-0005-0000-0000-00003D000000}"/>
    <cellStyle name="Normal 3 3 2" xfId="64" xr:uid="{00000000-0005-0000-0000-000041000000}"/>
    <cellStyle name="Normal 4" xfId="42" xr:uid="{00000000-0005-0000-0000-00002B000000}"/>
    <cellStyle name="Normal 4 2" xfId="51" xr:uid="{00000000-0005-0000-0000-000034000000}"/>
    <cellStyle name="Normal 5" xfId="45" xr:uid="{00000000-0005-0000-0000-00002E000000}"/>
    <cellStyle name="Normal 5 2" xfId="53" xr:uid="{00000000-0005-0000-0000-000036000000}"/>
    <cellStyle name="Normal 6" xfId="46" xr:uid="{00000000-0005-0000-0000-00002F000000}"/>
    <cellStyle name="Normal 6 2" xfId="54" xr:uid="{00000000-0005-0000-0000-000037000000}"/>
    <cellStyle name="Normal 7" xfId="47" xr:uid="{00000000-0005-0000-0000-000030000000}"/>
    <cellStyle name="Normal 7 2" xfId="55" xr:uid="{00000000-0005-0000-0000-000038000000}"/>
    <cellStyle name="Normal 8" xfId="48" xr:uid="{00000000-0005-0000-0000-000031000000}"/>
    <cellStyle name="Normal 8 2" xfId="56" xr:uid="{00000000-0005-0000-0000-000039000000}"/>
    <cellStyle name="Normal 9" xfId="43" xr:uid="{00000000-0005-0000-0000-00002C000000}"/>
    <cellStyle name="Output 2" xfId="11" xr:uid="{00000000-0005-0000-0000-00000C000000}"/>
    <cellStyle name="Title 2" xfId="2" xr:uid="{00000000-0005-0000-0000-000003000000}"/>
    <cellStyle name="Total 2" xfId="17" xr:uid="{00000000-0005-0000-0000-000012000000}"/>
    <cellStyle name="Warning Text 2" xfId="15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C3" sqref="C3"/>
    </sheetView>
  </sheetViews>
  <sheetFormatPr defaultColWidth="8.85546875" defaultRowHeight="15.75" x14ac:dyDescent="0.25"/>
  <cols>
    <col min="1" max="1" width="24" style="1" customWidth="1"/>
    <col min="2" max="2" width="30.140625" style="1" customWidth="1"/>
    <col min="3" max="3" width="27.42578125" style="1" customWidth="1"/>
    <col min="4" max="4" width="21.85546875" style="1" customWidth="1"/>
    <col min="5" max="5" width="13.85546875" style="1" customWidth="1"/>
    <col min="6" max="6" width="9.85546875" style="1" bestFit="1" customWidth="1"/>
    <col min="7" max="7" width="23.28515625" style="1" bestFit="1" customWidth="1"/>
    <col min="8" max="8" width="44.28515625" style="1" bestFit="1" customWidth="1"/>
    <col min="9" max="9" width="8.85546875" style="1" customWidth="1"/>
    <col min="10" max="16384" width="8.85546875" style="1"/>
  </cols>
  <sheetData>
    <row r="1" spans="1:8" x14ac:dyDescent="0.25">
      <c r="A1" s="43" t="s">
        <v>96</v>
      </c>
      <c r="B1" s="44"/>
      <c r="C1" s="44"/>
      <c r="D1" s="44"/>
      <c r="E1" s="44"/>
      <c r="F1" s="44"/>
      <c r="G1" s="44"/>
      <c r="H1" s="45"/>
    </row>
    <row r="2" spans="1:8" x14ac:dyDescent="0.25">
      <c r="A2" s="2" t="s">
        <v>0</v>
      </c>
      <c r="B2" s="1" t="s">
        <v>1</v>
      </c>
      <c r="F2" s="3"/>
    </row>
    <row r="3" spans="1:8" x14ac:dyDescent="0.25">
      <c r="A3" s="2" t="s">
        <v>2</v>
      </c>
      <c r="B3" s="1" t="s">
        <v>3</v>
      </c>
      <c r="F3" s="3"/>
    </row>
    <row r="4" spans="1:8" x14ac:dyDescent="0.25">
      <c r="A4" s="2" t="s">
        <v>4</v>
      </c>
      <c r="B4" s="1" t="s">
        <v>5</v>
      </c>
      <c r="F4" s="3"/>
    </row>
    <row r="5" spans="1:8" x14ac:dyDescent="0.25">
      <c r="A5" s="2" t="s">
        <v>6</v>
      </c>
      <c r="B5" s="1" t="s">
        <v>7</v>
      </c>
      <c r="F5" s="3"/>
    </row>
    <row r="6" spans="1:8" x14ac:dyDescent="0.25">
      <c r="A6" s="24" t="s">
        <v>8</v>
      </c>
      <c r="B6" s="24" t="s">
        <v>9</v>
      </c>
      <c r="C6" s="24" t="s">
        <v>10</v>
      </c>
      <c r="D6" s="24" t="s">
        <v>11</v>
      </c>
      <c r="E6" s="24" t="s">
        <v>12</v>
      </c>
      <c r="F6" s="25" t="s">
        <v>13</v>
      </c>
      <c r="G6" s="25" t="s">
        <v>14</v>
      </c>
      <c r="H6" s="26" t="s">
        <v>15</v>
      </c>
    </row>
    <row r="7" spans="1:8" x14ac:dyDescent="0.25">
      <c r="A7" s="27" t="s">
        <v>16</v>
      </c>
      <c r="B7" s="27" t="s">
        <v>17</v>
      </c>
      <c r="C7" s="27" t="s">
        <v>18</v>
      </c>
      <c r="D7" s="27" t="s">
        <v>19</v>
      </c>
      <c r="E7" s="28">
        <v>15.68</v>
      </c>
      <c r="F7" s="40">
        <v>0</v>
      </c>
      <c r="G7" s="29">
        <f t="shared" ref="G7:G44" si="0">F7*E7</f>
        <v>0</v>
      </c>
      <c r="H7" s="30" t="s">
        <v>20</v>
      </c>
    </row>
    <row r="8" spans="1:8" x14ac:dyDescent="0.25">
      <c r="A8" s="27" t="s">
        <v>16</v>
      </c>
      <c r="B8" s="27" t="s">
        <v>21</v>
      </c>
      <c r="C8" s="27" t="s">
        <v>22</v>
      </c>
      <c r="D8" s="27" t="s">
        <v>23</v>
      </c>
      <c r="E8" s="28">
        <v>2.92</v>
      </c>
      <c r="F8" s="40">
        <v>0</v>
      </c>
      <c r="G8" s="29">
        <f t="shared" si="0"/>
        <v>0</v>
      </c>
      <c r="H8" s="30" t="s">
        <v>20</v>
      </c>
    </row>
    <row r="9" spans="1:8" x14ac:dyDescent="0.25">
      <c r="A9" s="27" t="s">
        <v>16</v>
      </c>
      <c r="B9" s="27" t="s">
        <v>21</v>
      </c>
      <c r="C9" s="27" t="s">
        <v>24</v>
      </c>
      <c r="D9" s="27" t="s">
        <v>25</v>
      </c>
      <c r="E9" s="28">
        <v>2.92</v>
      </c>
      <c r="F9" s="40">
        <v>0</v>
      </c>
      <c r="G9" s="29">
        <f t="shared" si="0"/>
        <v>0</v>
      </c>
      <c r="H9" s="30" t="s">
        <v>20</v>
      </c>
    </row>
    <row r="10" spans="1:8" x14ac:dyDescent="0.25">
      <c r="A10" s="27" t="s">
        <v>16</v>
      </c>
      <c r="B10" s="27" t="s">
        <v>21</v>
      </c>
      <c r="C10" s="27" t="s">
        <v>26</v>
      </c>
      <c r="D10" s="27" t="s">
        <v>27</v>
      </c>
      <c r="E10" s="28">
        <v>2.92</v>
      </c>
      <c r="F10" s="40">
        <v>0</v>
      </c>
      <c r="G10" s="29">
        <f t="shared" si="0"/>
        <v>0</v>
      </c>
      <c r="H10" s="30" t="s">
        <v>20</v>
      </c>
    </row>
    <row r="11" spans="1:8" x14ac:dyDescent="0.25">
      <c r="A11" s="27" t="s">
        <v>16</v>
      </c>
      <c r="B11" s="27" t="s">
        <v>21</v>
      </c>
      <c r="C11" s="27" t="s">
        <v>28</v>
      </c>
      <c r="D11" s="27" t="s">
        <v>29</v>
      </c>
      <c r="E11" s="28">
        <v>4.7</v>
      </c>
      <c r="F11" s="40">
        <v>0</v>
      </c>
      <c r="G11" s="29">
        <f t="shared" si="0"/>
        <v>0</v>
      </c>
      <c r="H11" s="30" t="s">
        <v>20</v>
      </c>
    </row>
    <row r="12" spans="1:8" x14ac:dyDescent="0.25">
      <c r="A12" s="27" t="s">
        <v>30</v>
      </c>
      <c r="B12" s="27" t="s">
        <v>17</v>
      </c>
      <c r="C12" s="27" t="s">
        <v>18</v>
      </c>
      <c r="D12" s="27" t="s">
        <v>19</v>
      </c>
      <c r="E12" s="28">
        <v>27.51</v>
      </c>
      <c r="F12" s="40">
        <v>0</v>
      </c>
      <c r="G12" s="29">
        <f t="shared" si="0"/>
        <v>0</v>
      </c>
      <c r="H12" s="31" t="s">
        <v>31</v>
      </c>
    </row>
    <row r="13" spans="1:8" x14ac:dyDescent="0.25">
      <c r="A13" s="27" t="s">
        <v>30</v>
      </c>
      <c r="B13" s="27" t="s">
        <v>21</v>
      </c>
      <c r="C13" s="27" t="s">
        <v>22</v>
      </c>
      <c r="D13" s="27" t="s">
        <v>23</v>
      </c>
      <c r="E13" s="28">
        <v>2.92</v>
      </c>
      <c r="F13" s="40">
        <v>0</v>
      </c>
      <c r="G13" s="29">
        <f t="shared" si="0"/>
        <v>0</v>
      </c>
      <c r="H13" s="30" t="s">
        <v>20</v>
      </c>
    </row>
    <row r="14" spans="1:8" x14ac:dyDescent="0.25">
      <c r="A14" s="27" t="s">
        <v>30</v>
      </c>
      <c r="B14" s="27" t="s">
        <v>21</v>
      </c>
      <c r="C14" s="27" t="s">
        <v>24</v>
      </c>
      <c r="D14" s="27" t="s">
        <v>25</v>
      </c>
      <c r="E14" s="28">
        <v>2.92</v>
      </c>
      <c r="F14" s="40">
        <v>0</v>
      </c>
      <c r="G14" s="29">
        <f t="shared" si="0"/>
        <v>0</v>
      </c>
      <c r="H14" s="30" t="s">
        <v>20</v>
      </c>
    </row>
    <row r="15" spans="1:8" x14ac:dyDescent="0.25">
      <c r="A15" s="27" t="s">
        <v>30</v>
      </c>
      <c r="B15" s="27" t="s">
        <v>21</v>
      </c>
      <c r="C15" s="27" t="s">
        <v>26</v>
      </c>
      <c r="D15" s="27" t="s">
        <v>27</v>
      </c>
      <c r="E15" s="28">
        <v>2.92</v>
      </c>
      <c r="F15" s="40">
        <v>0</v>
      </c>
      <c r="G15" s="29">
        <f t="shared" si="0"/>
        <v>0</v>
      </c>
      <c r="H15" s="30" t="s">
        <v>20</v>
      </c>
    </row>
    <row r="16" spans="1:8" x14ac:dyDescent="0.25">
      <c r="A16" s="27" t="s">
        <v>30</v>
      </c>
      <c r="B16" s="27" t="s">
        <v>21</v>
      </c>
      <c r="C16" s="27" t="s">
        <v>28</v>
      </c>
      <c r="D16" s="27" t="s">
        <v>29</v>
      </c>
      <c r="E16" s="28">
        <v>4.7</v>
      </c>
      <c r="F16" s="40">
        <v>0</v>
      </c>
      <c r="G16" s="29">
        <f t="shared" si="0"/>
        <v>0</v>
      </c>
      <c r="H16" s="31" t="s">
        <v>32</v>
      </c>
    </row>
    <row r="17" spans="1:8" x14ac:dyDescent="0.25">
      <c r="A17" s="27" t="s">
        <v>33</v>
      </c>
      <c r="B17" s="27" t="s">
        <v>17</v>
      </c>
      <c r="C17" s="27" t="s">
        <v>34</v>
      </c>
      <c r="D17" s="27" t="s">
        <v>19</v>
      </c>
      <c r="E17" s="28">
        <v>15.68</v>
      </c>
      <c r="F17" s="40">
        <v>0</v>
      </c>
      <c r="G17" s="29">
        <f t="shared" si="0"/>
        <v>0</v>
      </c>
      <c r="H17" s="30" t="s">
        <v>35</v>
      </c>
    </row>
    <row r="18" spans="1:8" x14ac:dyDescent="0.25">
      <c r="A18" s="27" t="s">
        <v>33</v>
      </c>
      <c r="B18" s="27" t="s">
        <v>17</v>
      </c>
      <c r="C18" s="27" t="s">
        <v>36</v>
      </c>
      <c r="D18" s="27" t="s">
        <v>19</v>
      </c>
      <c r="E18" s="28">
        <v>15.68</v>
      </c>
      <c r="F18" s="40">
        <v>0</v>
      </c>
      <c r="G18" s="29">
        <f t="shared" si="0"/>
        <v>0</v>
      </c>
      <c r="H18" s="30" t="s">
        <v>35</v>
      </c>
    </row>
    <row r="19" spans="1:8" x14ac:dyDescent="0.25">
      <c r="A19" s="27" t="s">
        <v>33</v>
      </c>
      <c r="B19" s="27" t="s">
        <v>17</v>
      </c>
      <c r="C19" s="32" t="s">
        <v>37</v>
      </c>
      <c r="D19" s="27" t="s">
        <v>19</v>
      </c>
      <c r="E19" s="28">
        <v>33.020000000000003</v>
      </c>
      <c r="F19" s="40">
        <v>0</v>
      </c>
      <c r="G19" s="29">
        <f t="shared" si="0"/>
        <v>0</v>
      </c>
      <c r="H19" s="30" t="s">
        <v>35</v>
      </c>
    </row>
    <row r="20" spans="1:8" x14ac:dyDescent="0.25">
      <c r="A20" s="27" t="s">
        <v>33</v>
      </c>
      <c r="B20" s="27" t="s">
        <v>21</v>
      </c>
      <c r="C20" s="27" t="s">
        <v>22</v>
      </c>
      <c r="D20" s="27" t="s">
        <v>23</v>
      </c>
      <c r="E20" s="28">
        <v>2.92</v>
      </c>
      <c r="F20" s="40">
        <v>0</v>
      </c>
      <c r="G20" s="29">
        <f t="shared" si="0"/>
        <v>0</v>
      </c>
      <c r="H20" s="30" t="s">
        <v>35</v>
      </c>
    </row>
    <row r="21" spans="1:8" x14ac:dyDescent="0.25">
      <c r="A21" s="27" t="s">
        <v>33</v>
      </c>
      <c r="B21" s="27" t="s">
        <v>21</v>
      </c>
      <c r="C21" s="27" t="s">
        <v>24</v>
      </c>
      <c r="D21" s="27" t="s">
        <v>25</v>
      </c>
      <c r="E21" s="28">
        <v>2.92</v>
      </c>
      <c r="F21" s="40">
        <v>0</v>
      </c>
      <c r="G21" s="29">
        <f t="shared" si="0"/>
        <v>0</v>
      </c>
      <c r="H21" s="30" t="s">
        <v>35</v>
      </c>
    </row>
    <row r="22" spans="1:8" x14ac:dyDescent="0.25">
      <c r="A22" s="27" t="s">
        <v>33</v>
      </c>
      <c r="B22" s="27" t="s">
        <v>21</v>
      </c>
      <c r="C22" s="27" t="s">
        <v>26</v>
      </c>
      <c r="D22" s="27" t="s">
        <v>27</v>
      </c>
      <c r="E22" s="28">
        <v>2.92</v>
      </c>
      <c r="F22" s="40">
        <v>0</v>
      </c>
      <c r="G22" s="29">
        <f t="shared" si="0"/>
        <v>0</v>
      </c>
      <c r="H22" s="30" t="s">
        <v>35</v>
      </c>
    </row>
    <row r="23" spans="1:8" x14ac:dyDescent="0.25">
      <c r="A23" s="27" t="s">
        <v>33</v>
      </c>
      <c r="B23" s="27" t="s">
        <v>21</v>
      </c>
      <c r="C23" s="27" t="s">
        <v>28</v>
      </c>
      <c r="D23" s="27" t="s">
        <v>29</v>
      </c>
      <c r="E23" s="28">
        <v>4.7</v>
      </c>
      <c r="F23" s="40">
        <v>0</v>
      </c>
      <c r="G23" s="29">
        <f t="shared" si="0"/>
        <v>0</v>
      </c>
      <c r="H23" s="30" t="s">
        <v>35</v>
      </c>
    </row>
    <row r="24" spans="1:8" x14ac:dyDescent="0.25">
      <c r="A24" s="27" t="s">
        <v>33</v>
      </c>
      <c r="B24" s="27" t="s">
        <v>21</v>
      </c>
      <c r="C24" s="27" t="s">
        <v>38</v>
      </c>
      <c r="D24" s="27" t="s">
        <v>39</v>
      </c>
      <c r="E24" s="28">
        <v>20.9</v>
      </c>
      <c r="F24" s="40">
        <v>0</v>
      </c>
      <c r="G24" s="29">
        <f t="shared" si="0"/>
        <v>0</v>
      </c>
      <c r="H24" s="30" t="s">
        <v>35</v>
      </c>
    </row>
    <row r="25" spans="1:8" x14ac:dyDescent="0.25">
      <c r="A25" s="27" t="s">
        <v>40</v>
      </c>
      <c r="B25" s="27" t="s">
        <v>41</v>
      </c>
      <c r="C25" s="27" t="s">
        <v>29</v>
      </c>
      <c r="D25" s="27" t="s">
        <v>42</v>
      </c>
      <c r="E25" s="28">
        <v>6.33</v>
      </c>
      <c r="F25" s="40">
        <v>0</v>
      </c>
      <c r="G25" s="29">
        <f t="shared" si="0"/>
        <v>0</v>
      </c>
      <c r="H25" s="31" t="s">
        <v>43</v>
      </c>
    </row>
    <row r="26" spans="1:8" x14ac:dyDescent="0.25">
      <c r="A26" s="27" t="s">
        <v>40</v>
      </c>
      <c r="B26" s="27" t="s">
        <v>41</v>
      </c>
      <c r="C26" s="27" t="s">
        <v>44</v>
      </c>
      <c r="D26" s="27" t="s">
        <v>42</v>
      </c>
      <c r="E26" s="28">
        <v>1.87</v>
      </c>
      <c r="F26" s="40">
        <v>0</v>
      </c>
      <c r="G26" s="29">
        <f t="shared" si="0"/>
        <v>0</v>
      </c>
      <c r="H26" s="31" t="s">
        <v>43</v>
      </c>
    </row>
    <row r="27" spans="1:8" x14ac:dyDescent="0.25">
      <c r="A27" s="27" t="s">
        <v>45</v>
      </c>
      <c r="B27" s="27" t="s">
        <v>46</v>
      </c>
      <c r="C27" s="27" t="s">
        <v>47</v>
      </c>
      <c r="D27" s="27" t="s">
        <v>48</v>
      </c>
      <c r="E27" s="28">
        <v>20.9</v>
      </c>
      <c r="F27" s="40">
        <v>0</v>
      </c>
      <c r="G27" s="29">
        <f t="shared" si="0"/>
        <v>0</v>
      </c>
      <c r="H27" s="31" t="s">
        <v>49</v>
      </c>
    </row>
    <row r="28" spans="1:8" x14ac:dyDescent="0.25">
      <c r="A28" s="27" t="s">
        <v>45</v>
      </c>
      <c r="B28" s="27" t="s">
        <v>50</v>
      </c>
      <c r="C28" s="27" t="s">
        <v>51</v>
      </c>
      <c r="D28" s="27" t="s">
        <v>52</v>
      </c>
      <c r="E28" s="28">
        <v>59</v>
      </c>
      <c r="F28" s="40">
        <v>0</v>
      </c>
      <c r="G28" s="33">
        <f t="shared" si="0"/>
        <v>0</v>
      </c>
      <c r="H28" s="34" t="s">
        <v>49</v>
      </c>
    </row>
    <row r="29" spans="1:8" x14ac:dyDescent="0.25">
      <c r="A29" s="27" t="s">
        <v>45</v>
      </c>
      <c r="B29" s="27" t="s">
        <v>50</v>
      </c>
      <c r="C29" s="27" t="s">
        <v>53</v>
      </c>
      <c r="D29" s="27" t="s">
        <v>52</v>
      </c>
      <c r="E29" s="28">
        <v>75</v>
      </c>
      <c r="F29" s="40">
        <v>0</v>
      </c>
      <c r="G29" s="29">
        <f t="shared" si="0"/>
        <v>0</v>
      </c>
      <c r="H29" s="34" t="s">
        <v>49</v>
      </c>
    </row>
    <row r="30" spans="1:8" x14ac:dyDescent="0.25">
      <c r="A30" s="27" t="s">
        <v>45</v>
      </c>
      <c r="B30" s="27" t="s">
        <v>50</v>
      </c>
      <c r="C30" s="27" t="s">
        <v>54</v>
      </c>
      <c r="D30" s="27" t="s">
        <v>55</v>
      </c>
      <c r="E30" s="28">
        <v>61.66</v>
      </c>
      <c r="F30" s="40">
        <v>0</v>
      </c>
      <c r="G30" s="29">
        <f t="shared" si="0"/>
        <v>0</v>
      </c>
      <c r="H30" s="35"/>
    </row>
    <row r="31" spans="1:8" x14ac:dyDescent="0.25">
      <c r="A31" s="27" t="s">
        <v>45</v>
      </c>
      <c r="B31" s="27" t="s">
        <v>56</v>
      </c>
      <c r="C31" s="27" t="s">
        <v>57</v>
      </c>
      <c r="D31" s="27" t="s">
        <v>58</v>
      </c>
      <c r="E31" s="39">
        <v>0.15</v>
      </c>
      <c r="F31" s="40">
        <v>0</v>
      </c>
      <c r="G31" s="29">
        <f t="shared" si="0"/>
        <v>0</v>
      </c>
      <c r="H31" s="35"/>
    </row>
    <row r="32" spans="1:8" x14ac:dyDescent="0.25">
      <c r="A32" s="27" t="s">
        <v>45</v>
      </c>
      <c r="B32" s="27" t="s">
        <v>56</v>
      </c>
      <c r="C32" s="27" t="s">
        <v>59</v>
      </c>
      <c r="D32" s="27" t="s">
        <v>29</v>
      </c>
      <c r="E32" s="28">
        <v>6.27</v>
      </c>
      <c r="F32" s="40">
        <v>0</v>
      </c>
      <c r="G32" s="29">
        <f t="shared" si="0"/>
        <v>0</v>
      </c>
      <c r="H32" s="35"/>
    </row>
    <row r="33" spans="1:8" ht="30.75" customHeight="1" x14ac:dyDescent="0.25">
      <c r="A33" s="27" t="s">
        <v>45</v>
      </c>
      <c r="B33" s="27" t="s">
        <v>56</v>
      </c>
      <c r="C33" s="27" t="s">
        <v>60</v>
      </c>
      <c r="D33" s="27" t="s">
        <v>61</v>
      </c>
      <c r="E33" s="28">
        <v>2.09</v>
      </c>
      <c r="F33" s="40">
        <v>0</v>
      </c>
      <c r="G33" s="29">
        <f t="shared" si="0"/>
        <v>0</v>
      </c>
      <c r="H33" s="31" t="s">
        <v>32</v>
      </c>
    </row>
    <row r="34" spans="1:8" x14ac:dyDescent="0.2">
      <c r="A34" s="27" t="s">
        <v>62</v>
      </c>
      <c r="B34" s="27" t="s">
        <v>56</v>
      </c>
      <c r="C34" s="27" t="s">
        <v>63</v>
      </c>
      <c r="D34" s="27" t="s">
        <v>64</v>
      </c>
      <c r="E34" s="28">
        <v>135.85</v>
      </c>
      <c r="F34" s="40">
        <v>0</v>
      </c>
      <c r="G34" s="29">
        <f t="shared" si="0"/>
        <v>0</v>
      </c>
      <c r="H34" s="36"/>
    </row>
    <row r="35" spans="1:8" ht="31.5" customHeight="1" x14ac:dyDescent="0.2">
      <c r="A35" s="27" t="s">
        <v>62</v>
      </c>
      <c r="B35" s="27" t="s">
        <v>56</v>
      </c>
      <c r="C35" s="27" t="s">
        <v>65</v>
      </c>
      <c r="D35" s="27" t="s">
        <v>66</v>
      </c>
      <c r="E35" s="28">
        <v>355.3</v>
      </c>
      <c r="F35" s="40">
        <v>0</v>
      </c>
      <c r="G35" s="29">
        <f t="shared" si="0"/>
        <v>0</v>
      </c>
      <c r="H35" s="36"/>
    </row>
    <row r="36" spans="1:8" ht="31.5" customHeight="1" x14ac:dyDescent="0.25">
      <c r="A36" s="27" t="s">
        <v>62</v>
      </c>
      <c r="B36" s="27" t="s">
        <v>56</v>
      </c>
      <c r="C36" s="27" t="s">
        <v>67</v>
      </c>
      <c r="D36" s="27" t="s">
        <v>66</v>
      </c>
      <c r="E36" s="28">
        <v>637.45000000000005</v>
      </c>
      <c r="F36" s="40">
        <v>0</v>
      </c>
      <c r="G36" s="29">
        <f t="shared" si="0"/>
        <v>0</v>
      </c>
      <c r="H36" s="35"/>
    </row>
    <row r="37" spans="1:8" ht="31.5" customHeight="1" x14ac:dyDescent="0.25">
      <c r="A37" s="27" t="s">
        <v>62</v>
      </c>
      <c r="B37" s="27" t="s">
        <v>56</v>
      </c>
      <c r="C37" s="27" t="s">
        <v>65</v>
      </c>
      <c r="D37" s="27" t="s">
        <v>68</v>
      </c>
      <c r="E37" s="28">
        <v>637.45000000000005</v>
      </c>
      <c r="F37" s="40">
        <v>0</v>
      </c>
      <c r="G37" s="29">
        <f t="shared" si="0"/>
        <v>0</v>
      </c>
      <c r="H37" s="35"/>
    </row>
    <row r="38" spans="1:8" ht="31.5" customHeight="1" x14ac:dyDescent="0.25">
      <c r="A38" s="27" t="s">
        <v>62</v>
      </c>
      <c r="B38" s="27" t="s">
        <v>56</v>
      </c>
      <c r="C38" s="27" t="s">
        <v>67</v>
      </c>
      <c r="D38" s="27" t="s">
        <v>68</v>
      </c>
      <c r="E38" s="28">
        <v>919.6</v>
      </c>
      <c r="F38" s="40">
        <v>0</v>
      </c>
      <c r="G38" s="29">
        <f t="shared" si="0"/>
        <v>0</v>
      </c>
      <c r="H38" s="35"/>
    </row>
    <row r="39" spans="1:8" ht="31.5" customHeight="1" x14ac:dyDescent="0.25">
      <c r="A39" s="27" t="s">
        <v>69</v>
      </c>
      <c r="B39" s="27" t="s">
        <v>70</v>
      </c>
      <c r="C39" s="27" t="s">
        <v>71</v>
      </c>
      <c r="D39" s="27" t="s">
        <v>19</v>
      </c>
      <c r="E39" s="28">
        <v>20.9</v>
      </c>
      <c r="F39" s="40">
        <v>0</v>
      </c>
      <c r="G39" s="29">
        <f t="shared" si="0"/>
        <v>0</v>
      </c>
      <c r="H39" s="30" t="s">
        <v>49</v>
      </c>
    </row>
    <row r="40" spans="1:8" x14ac:dyDescent="0.25">
      <c r="A40" s="27" t="s">
        <v>69</v>
      </c>
      <c r="B40" s="27" t="s">
        <v>70</v>
      </c>
      <c r="C40" s="27" t="s">
        <v>72</v>
      </c>
      <c r="D40" s="27" t="s">
        <v>19</v>
      </c>
      <c r="E40" s="28">
        <v>15.68</v>
      </c>
      <c r="F40" s="40">
        <v>0</v>
      </c>
      <c r="G40" s="29">
        <f t="shared" si="0"/>
        <v>0</v>
      </c>
      <c r="H40" s="35"/>
    </row>
    <row r="41" spans="1:8" x14ac:dyDescent="0.25">
      <c r="A41" s="27" t="s">
        <v>69</v>
      </c>
      <c r="B41" s="27" t="s">
        <v>70</v>
      </c>
      <c r="C41" s="27" t="s">
        <v>73</v>
      </c>
      <c r="D41" s="27" t="s">
        <v>74</v>
      </c>
      <c r="E41" s="28">
        <v>8.1999999999999993</v>
      </c>
      <c r="F41" s="40">
        <v>0</v>
      </c>
      <c r="G41" s="29">
        <f t="shared" si="0"/>
        <v>0</v>
      </c>
      <c r="H41" s="35"/>
    </row>
    <row r="42" spans="1:8" x14ac:dyDescent="0.25">
      <c r="A42" s="27" t="s">
        <v>69</v>
      </c>
      <c r="B42" s="27" t="s">
        <v>70</v>
      </c>
      <c r="C42" s="27" t="s">
        <v>75</v>
      </c>
      <c r="D42" s="27" t="s">
        <v>76</v>
      </c>
      <c r="E42" s="28">
        <v>14.63</v>
      </c>
      <c r="F42" s="40">
        <v>0</v>
      </c>
      <c r="G42" s="29">
        <f t="shared" si="0"/>
        <v>0</v>
      </c>
      <c r="H42" s="35"/>
    </row>
    <row r="43" spans="1:8" x14ac:dyDescent="0.25">
      <c r="A43" s="27" t="s">
        <v>69</v>
      </c>
      <c r="B43" s="27" t="s">
        <v>77</v>
      </c>
      <c r="C43" s="27" t="s">
        <v>78</v>
      </c>
      <c r="D43" s="27" t="s">
        <v>52</v>
      </c>
      <c r="E43" s="41">
        <v>182.88</v>
      </c>
      <c r="F43" s="40">
        <v>0</v>
      </c>
      <c r="G43" s="37">
        <f t="shared" si="0"/>
        <v>0</v>
      </c>
      <c r="H43" s="35"/>
    </row>
    <row r="44" spans="1:8" x14ac:dyDescent="0.25">
      <c r="A44" s="27" t="s">
        <v>69</v>
      </c>
      <c r="B44" s="27" t="s">
        <v>79</v>
      </c>
      <c r="C44" s="27" t="s">
        <v>80</v>
      </c>
      <c r="D44" s="27" t="s">
        <v>81</v>
      </c>
      <c r="E44" s="41">
        <v>522.5</v>
      </c>
      <c r="F44" s="40">
        <v>0</v>
      </c>
      <c r="G44" s="37">
        <f t="shared" si="0"/>
        <v>0</v>
      </c>
      <c r="H44" s="35"/>
    </row>
    <row r="45" spans="1:8" x14ac:dyDescent="0.25">
      <c r="A45" s="27" t="s">
        <v>69</v>
      </c>
      <c r="B45" s="27" t="s">
        <v>82</v>
      </c>
      <c r="C45" s="27" t="s">
        <v>83</v>
      </c>
      <c r="D45" s="27" t="s">
        <v>81</v>
      </c>
      <c r="E45" s="41" t="s">
        <v>84</v>
      </c>
      <c r="F45" s="40">
        <v>0</v>
      </c>
      <c r="G45" s="37">
        <v>0</v>
      </c>
      <c r="H45" s="35"/>
    </row>
    <row r="46" spans="1:8" x14ac:dyDescent="0.25">
      <c r="F46" s="4" t="s">
        <v>85</v>
      </c>
      <c r="G46" s="5">
        <f>SUM(G7:G42)</f>
        <v>0</v>
      </c>
    </row>
    <row r="47" spans="1:8" x14ac:dyDescent="0.25">
      <c r="F47" s="6" t="s">
        <v>86</v>
      </c>
      <c r="G47" s="7">
        <f>SUM(G43:G45)</f>
        <v>0</v>
      </c>
    </row>
    <row r="49" spans="1:7" ht="16.5" customHeight="1" thickBot="1" x14ac:dyDescent="0.3"/>
    <row r="50" spans="1:7" x14ac:dyDescent="0.25">
      <c r="A50" s="8"/>
      <c r="B50" s="9" t="s">
        <v>14</v>
      </c>
    </row>
    <row r="51" spans="1:7" x14ac:dyDescent="0.25">
      <c r="A51" s="10" t="s">
        <v>87</v>
      </c>
      <c r="B51" s="11">
        <f>G46</f>
        <v>0</v>
      </c>
    </row>
    <row r="52" spans="1:7" x14ac:dyDescent="0.25">
      <c r="A52" s="12" t="s">
        <v>88</v>
      </c>
      <c r="B52" s="38">
        <v>0</v>
      </c>
      <c r="C52" s="1" t="s">
        <v>89</v>
      </c>
    </row>
    <row r="53" spans="1:7" ht="16.5" customHeight="1" thickBot="1" x14ac:dyDescent="0.3">
      <c r="A53" s="13" t="s">
        <v>90</v>
      </c>
      <c r="B53" s="14">
        <f>(B51+B52)*15%</f>
        <v>0</v>
      </c>
    </row>
    <row r="54" spans="1:7" x14ac:dyDescent="0.25">
      <c r="A54" s="15" t="s">
        <v>91</v>
      </c>
      <c r="B54" s="16">
        <f>SUM(B51:B53)</f>
        <v>0</v>
      </c>
    </row>
    <row r="55" spans="1:7" ht="16.5" customHeight="1" thickBot="1" x14ac:dyDescent="0.3">
      <c r="A55" s="17" t="s">
        <v>92</v>
      </c>
      <c r="B55" s="18">
        <f>G47</f>
        <v>0</v>
      </c>
    </row>
    <row r="56" spans="1:7" x14ac:dyDescent="0.25">
      <c r="A56" s="19"/>
      <c r="B56" s="19"/>
    </row>
    <row r="57" spans="1:7" x14ac:dyDescent="0.25">
      <c r="A57" s="19"/>
      <c r="B57" s="19"/>
      <c r="G57" s="42"/>
    </row>
    <row r="58" spans="1:7" x14ac:dyDescent="0.25">
      <c r="A58" s="20" t="s">
        <v>93</v>
      </c>
      <c r="B58" s="21">
        <f>B51*1.15</f>
        <v>0</v>
      </c>
      <c r="C58" s="1" t="s">
        <v>94</v>
      </c>
    </row>
    <row r="59" spans="1:7" ht="16.5" customHeight="1" thickBot="1" x14ac:dyDescent="0.3">
      <c r="A59" s="22" t="s">
        <v>95</v>
      </c>
      <c r="B59" s="23">
        <f>B52*1.15</f>
        <v>0</v>
      </c>
      <c r="C59" s="1" t="s">
        <v>94</v>
      </c>
    </row>
    <row r="60" spans="1:7" x14ac:dyDescent="0.25">
      <c r="A60" s="15" t="s">
        <v>91</v>
      </c>
      <c r="B60" s="16">
        <f>SUM(B58:B59)</f>
        <v>0</v>
      </c>
      <c r="C60" s="19"/>
    </row>
    <row r="61" spans="1:7" ht="16.5" customHeight="1" thickBot="1" x14ac:dyDescent="0.3">
      <c r="A61" s="17" t="s">
        <v>92</v>
      </c>
      <c r="B61" s="18">
        <v>522.5</v>
      </c>
      <c r="C61" s="1" t="s">
        <v>94</v>
      </c>
    </row>
  </sheetData>
  <mergeCells count="1">
    <mergeCell ref="A1:H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Jacob Nathan Barak</cp:lastModifiedBy>
  <dcterms:created xsi:type="dcterms:W3CDTF">2022-10-18T12:46:56Z</dcterms:created>
  <dcterms:modified xsi:type="dcterms:W3CDTF">2026-04-12T07:22:25Z</dcterms:modified>
</cp:coreProperties>
</file>