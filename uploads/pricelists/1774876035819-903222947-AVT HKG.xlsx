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log2022-my.sharepoint.com/personal/jacob_b_unilog_company/Documents/Desktop/"/>
    </mc:Choice>
  </mc:AlternateContent>
  <xr:revisionPtr revIDLastSave="0" documentId="8_{E32DE036-3EAE-486E-8F92-BE92B3F40953}" xr6:coauthVersionLast="47" xr6:coauthVersionMax="47" xr10:uidLastSave="{00000000-0000-0000-0000-000000000000}"/>
  <bookViews>
    <workbookView xWindow="-108" yWindow="-108" windowWidth="23256" windowHeight="13896" xr2:uid="{446D32CB-4FFE-42AE-BC03-24BBBDE50EAB}"/>
  </bookViews>
  <sheets>
    <sheet name="WH activity" sheetId="1" r:id="rId1"/>
  </sheets>
  <externalReferences>
    <externalReference r:id="rId2"/>
  </externalReferences>
  <definedNames>
    <definedName name="_xlnm.Print_Area" localSheetId="0">'WH activity'!#REF!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0" i="1" s="1"/>
</calcChain>
</file>

<file path=xl/sharedStrings.xml><?xml version="1.0" encoding="utf-8"?>
<sst xmlns="http://schemas.openxmlformats.org/spreadsheetml/2006/main" count="150" uniqueCount="100">
  <si>
    <t>HONG KONG Warehouse Charges</t>
  </si>
  <si>
    <t>February</t>
  </si>
  <si>
    <t>January</t>
  </si>
  <si>
    <t>Segment</t>
  </si>
  <si>
    <t>Clause</t>
  </si>
  <si>
    <t>Category</t>
  </si>
  <si>
    <t xml:space="preserve">Description ESKO </t>
  </si>
  <si>
    <t>Unit of Measure</t>
  </si>
  <si>
    <t>Rate</t>
  </si>
  <si>
    <t>QTY</t>
  </si>
  <si>
    <t>Total</t>
  </si>
  <si>
    <t>Inbound</t>
  </si>
  <si>
    <t>Per Order</t>
  </si>
  <si>
    <t>General</t>
  </si>
  <si>
    <t>For replenishment orders</t>
  </si>
  <si>
    <t>order</t>
  </si>
  <si>
    <t>March</t>
  </si>
  <si>
    <t>Per Unit Scan</t>
  </si>
  <si>
    <t>Per Item</t>
  </si>
  <si>
    <t>Serial or QTY  Scan</t>
  </si>
  <si>
    <t>each</t>
  </si>
  <si>
    <t>April</t>
  </si>
  <si>
    <t>VAS</t>
  </si>
  <si>
    <t>Expedited Inbound</t>
  </si>
  <si>
    <t>Surcharge for expedited inbound orders</t>
  </si>
  <si>
    <t>surcharge per order</t>
  </si>
  <si>
    <t>May</t>
  </si>
  <si>
    <t>Outbound</t>
  </si>
  <si>
    <t>Per order</t>
  </si>
  <si>
    <t>Domestic</t>
  </si>
  <si>
    <t xml:space="preserve">For domestic orders </t>
  </si>
  <si>
    <t>June</t>
  </si>
  <si>
    <t>International</t>
  </si>
  <si>
    <t>For any sort of international order. Additional handling and documentation</t>
  </si>
  <si>
    <t>July</t>
  </si>
  <si>
    <t>Non-serial items. Choose per each item or per line. Preference per each</t>
  </si>
  <si>
    <t>August</t>
  </si>
  <si>
    <t>Expedited Outbound</t>
  </si>
  <si>
    <t>Surcharge for expedited outbound orders</t>
  </si>
  <si>
    <t>September</t>
  </si>
  <si>
    <t>EXWs Handling</t>
  </si>
  <si>
    <t>Handover to a pick-up company/person. CMR creation</t>
  </si>
  <si>
    <t>October</t>
  </si>
  <si>
    <t>Storage</t>
  </si>
  <si>
    <t>Space</t>
  </si>
  <si>
    <t>per area</t>
  </si>
  <si>
    <t>Per SqM Per Month</t>
  </si>
  <si>
    <t xml:space="preserve"> or month</t>
  </si>
  <si>
    <t>November</t>
  </si>
  <si>
    <t>Minimum Area</t>
  </si>
  <si>
    <t>Minimum area charge 10 Pallet  Location or  equivalent  in space</t>
  </si>
  <si>
    <t>month</t>
  </si>
  <si>
    <t>December</t>
  </si>
  <si>
    <t>MIR</t>
  </si>
  <si>
    <t>Exception case</t>
  </si>
  <si>
    <t>For exceptions during inbound or outbound operations,  charged  per  request  in Logivice</t>
  </si>
  <si>
    <t>Labour</t>
  </si>
  <si>
    <t>WH labour hours</t>
  </si>
  <si>
    <t>Warehouse labor handling hours</t>
  </si>
  <si>
    <t>per hour</t>
  </si>
  <si>
    <t>CS/Admin labor hours</t>
  </si>
  <si>
    <t>Customer service or administrative labor hours</t>
  </si>
  <si>
    <t>Pick-Up Request</t>
  </si>
  <si>
    <t>Coordinating pick-ups from non-warehouse locations to specified destinations.</t>
  </si>
  <si>
    <t>Per Request</t>
  </si>
  <si>
    <t>Handling and Materials</t>
  </si>
  <si>
    <t>Repacking, sorting or restacking</t>
  </si>
  <si>
    <t>Repacking, sorting, or restacking per case</t>
  </si>
  <si>
    <t>case</t>
  </si>
  <si>
    <t>Materials</t>
  </si>
  <si>
    <t>Additional materials usage or procurement</t>
  </si>
  <si>
    <t>Cost +12%</t>
  </si>
  <si>
    <t>Labelling</t>
  </si>
  <si>
    <t>Per unit labeling or sticker</t>
  </si>
  <si>
    <t>Management</t>
  </si>
  <si>
    <t>Miscellaneous</t>
  </si>
  <si>
    <t>Manual Order creation</t>
  </si>
  <si>
    <t>Per order for manual order creation or update</t>
  </si>
  <si>
    <t>Order cancellation</t>
  </si>
  <si>
    <t>Per order for order cancellation</t>
  </si>
  <si>
    <t>3rd party courier account</t>
  </si>
  <si>
    <t>Per label created by Unilog/warehouse team on customer’s or other accounts</t>
  </si>
  <si>
    <t>label</t>
  </si>
  <si>
    <t>Extra Documentation</t>
  </si>
  <si>
    <t>Extra set of documents creation and approval</t>
  </si>
  <si>
    <t>set</t>
  </si>
  <si>
    <t>IT Programming</t>
  </si>
  <si>
    <t>System development</t>
  </si>
  <si>
    <t>Per development team hour</t>
  </si>
  <si>
    <t>Management fee</t>
  </si>
  <si>
    <t>Account administration</t>
  </si>
  <si>
    <t>Monthly fee for supply chain administration, interfacing, and reporting</t>
  </si>
  <si>
    <t>GTS</t>
  </si>
  <si>
    <t>Customs formalities and GTS</t>
  </si>
  <si>
    <t>IOR/EOR transaction incl. clearance</t>
  </si>
  <si>
    <t>per clearance + IOR/EOR fee</t>
  </si>
  <si>
    <t>Per Entry</t>
  </si>
  <si>
    <t>Genral</t>
  </si>
  <si>
    <t>COURIER FEES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</si>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</sst>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4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Calibri"/>
      <family val="2"/>
    </font>
    <font>
      <sz val="11"/>
      <name val="Calibri"/>
      <family val="2"/>
    </font>
    <font>
      <b/>
      <sz val="12"/>
      <color theme="0"/>
      <name val="Arial"/>
      <family val="2"/>
    </font>
    <font>
      <sz val="11"/>
      <color theme="1"/>
      <name val="Segoe UI"/>
      <family val="2"/>
    </font>
    <font>
      <b/>
      <sz val="12"/>
      <color rgb="FFFFFFFF"/>
      <name val="Calibri"/>
      <family val="2"/>
    </font>
    <font>
      <b/>
      <sz val="12"/>
      <color rgb="FF000000"/>
      <name val="Aptos Narrow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mediumDashed">
        <color rgb="FFFFA500"/>
      </left>
      <right style="mediumDashed">
        <color rgb="FFFFA500"/>
      </right>
      <top style="medium">
        <color rgb="FFEE782D"/>
      </top>
      <bottom style="mediumDashed">
        <color rgb="FFFFA500"/>
      </bottom>
      <diagonal/>
    </border>
    <border>
      <left style="mediumDashed">
        <color rgb="FFFFA500"/>
      </left>
      <right style="mediumDashed">
        <color rgb="FFFFA500"/>
      </right>
      <top style="mediumDashed">
        <color rgb="FFFFA500"/>
      </top>
      <bottom style="mediumDashed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rgb="FFFFA500"/>
      </left>
      <right style="mediumDashed">
        <color rgb="FFFFA500"/>
      </right>
      <top style="mediumDashed">
        <color rgb="FFFFA500"/>
      </top>
      <bottom style="medium">
        <color rgb="FFEE782D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2" borderId="0" xfId="0" applyFont="1" applyFill="1" applyAlignment="1">
      <alignment vertical="center" readingOrder="1"/>
    </xf>
    <xf numFmtId="0" fontId="3" fillId="2" borderId="0" xfId="0" applyFont="1" applyFill="1" applyAlignment="1">
      <alignment horizontal="left" readingOrder="1"/>
    </xf>
    <xf numFmtId="0" fontId="4" fillId="0" borderId="0" xfId="0" applyFont="1" applyAlignment="1">
      <alignment horizontal="left" readingOrder="1"/>
    </xf>
    <xf numFmtId="0" fontId="5" fillId="2" borderId="0" xfId="0" applyFont="1" applyFill="1" applyAlignment="1">
      <alignment horizontal="center" vertical="center" readingOrder="1"/>
    </xf>
    <xf numFmtId="0" fontId="5" fillId="2" borderId="0" xfId="0" applyFont="1" applyFill="1" applyAlignment="1">
      <alignment horizontal="left" vertical="center" readingOrder="1"/>
    </xf>
    <xf numFmtId="0" fontId="6" fillId="3" borderId="1" xfId="0" applyFont="1" applyFill="1" applyBorder="1" applyAlignment="1">
      <alignment horizontal="left" vertical="center" wrapText="1"/>
    </xf>
    <xf numFmtId="0" fontId="7" fillId="4" borderId="0" xfId="1" applyFont="1" applyFill="1" applyAlignment="1">
      <alignment horizontal="left" vertical="center"/>
    </xf>
    <xf numFmtId="0" fontId="7" fillId="4" borderId="0" xfId="1" applyFont="1" applyFill="1"/>
    <xf numFmtId="164" fontId="7" fillId="4" borderId="0" xfId="1" applyNumberFormat="1" applyFont="1" applyFill="1"/>
    <xf numFmtId="0" fontId="6" fillId="3" borderId="2" xfId="0" applyFont="1" applyFill="1" applyBorder="1" applyAlignment="1">
      <alignment horizontal="left" vertical="center" wrapText="1"/>
    </xf>
    <xf numFmtId="0" fontId="8" fillId="5" borderId="3" xfId="1" applyFont="1" applyFill="1" applyBorder="1" applyAlignment="1">
      <alignment vertical="center"/>
    </xf>
    <xf numFmtId="0" fontId="9" fillId="5" borderId="3" xfId="1" applyFont="1" applyFill="1" applyBorder="1"/>
    <xf numFmtId="0" fontId="9" fillId="5" borderId="3" xfId="1" applyFont="1" applyFill="1" applyBorder="1" applyAlignment="1">
      <alignment wrapText="1"/>
    </xf>
    <xf numFmtId="164" fontId="9" fillId="5" borderId="3" xfId="1" applyNumberFormat="1" applyFont="1" applyFill="1" applyBorder="1"/>
    <xf numFmtId="4" fontId="10" fillId="5" borderId="3" xfId="0" applyNumberFormat="1" applyFont="1" applyFill="1" applyBorder="1" applyAlignment="1">
      <alignment horizontal="center" vertical="center" readingOrder="1"/>
    </xf>
    <xf numFmtId="164" fontId="3" fillId="5" borderId="3" xfId="0" applyNumberFormat="1" applyFont="1" applyFill="1" applyBorder="1" applyAlignment="1">
      <alignment horizontal="left" readingOrder="1"/>
    </xf>
    <xf numFmtId="164" fontId="4" fillId="0" borderId="0" xfId="0" applyNumberFormat="1" applyFont="1" applyAlignment="1">
      <alignment horizontal="left" readingOrder="1"/>
    </xf>
    <xf numFmtId="0" fontId="10" fillId="5" borderId="3" xfId="0" applyFont="1" applyFill="1" applyBorder="1" applyAlignment="1">
      <alignment horizontal="center" vertical="center" readingOrder="1"/>
    </xf>
    <xf numFmtId="0" fontId="11" fillId="5" borderId="3" xfId="1" applyFont="1" applyFill="1" applyBorder="1" applyAlignment="1">
      <alignment wrapText="1"/>
    </xf>
    <xf numFmtId="0" fontId="6" fillId="3" borderId="4" xfId="0" applyFont="1" applyFill="1" applyBorder="1" applyAlignment="1">
      <alignment horizontal="left" vertical="center" wrapText="1"/>
    </xf>
    <xf numFmtId="0" fontId="12" fillId="0" borderId="3" xfId="2" applyFont="1" applyBorder="1" applyAlignment="1">
      <alignment horizontal="center" vertical="center"/>
    </xf>
    <xf numFmtId="164" fontId="13" fillId="0" borderId="0" xfId="0" applyNumberFormat="1" applyFont="1" applyAlignment="1">
      <alignment horizontal="left" wrapText="1" readingOrder="1"/>
    </xf>
    <xf numFmtId="0" fontId="10" fillId="5" borderId="3" xfId="1" applyFont="1" applyFill="1" applyBorder="1"/>
    <xf numFmtId="0" fontId="3" fillId="0" borderId="0" xfId="0" applyFont="1" applyAlignment="1">
      <alignment horizontal="left" readingOrder="1"/>
    </xf>
  </cellXfs>
  <cellStyles count="3">
    <cellStyle name="Normal" xfId="0" builtinId="0"/>
    <cellStyle name="Normal 2 2 10" xfId="1" xr:uid="{018CC20A-F8C6-47B9-A078-B4C0A3A31838}"/>
    <cellStyle name="Normal 3" xfId="2" xr:uid="{98C4F7DB-57E1-42FA-804F-B9CF47EEDC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511629</xdr:colOff>
      <xdr:row>0</xdr:row>
      <xdr:rowOff>95842</xdr:rowOff>
    </xdr:from>
    <xdr:to>
      <xdr:col>1</xdr:col>
      <xdr:colOff>490579</xdr:colOff>
      <xdr:row>1</xdr:row>
      <xdr:rowOff>270179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DADE1-C869-41B1-AD80-F83564119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439" y="99652"/>
          <a:ext cx="1087660" cy="673447"/>
        </a:xfrm>
        <a:prstGeom prst="rect">
          <a:avLst/>
        </a:prstGeom>
      </xdr:spPr>
    </xdr:pic>
    <xdr:clientData/>
  </xdr:twoCellAnchor>
  <xdr:oneCellAnchor>
    <xdr:from>
      <xdr:col>5</xdr:col>
      <xdr:colOff>498613</xdr:colOff>
      <xdr:row>0</xdr:row>
      <xdr:rowOff>132050</xdr:rowOff>
    </xdr:from>
    <xdr:ext cx="1611787" cy="579783"/>
    <xdr:pic>
      <xdr:nvPicPr>
        <xdr:cNvPr id="3" name="Picture 2">
          <a:extLst>
            <a:ext uri="{FF2B5EF4-FFF2-40B4-BE49-F238E27FC236}">
              <a16:creationId xmlns:a16="http://schemas.microsoft.com/office/drawing/2014/main" id="{F3772A3F-009A-420C-97B8-14080E7F5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5733" y="135860"/>
          <a:ext cx="1611787" cy="57978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cobBarak\AppData\Local\Microsoft\Windows\INetCache\Content.Outlook\WXVGD033\AVT-ESKO%20HK%20Feb%202026%20(002).xlsx" TargetMode="External"/><Relationship Id="rId1" Type="http://schemas.openxmlformats.org/officeDocument/2006/relationships/externalLinkPath" Target="file:///C:\Users\JacobBarak\AppData\Local\Microsoft\Windows\INetCache\Content.Outlook\WXVGD033\AVT-ESKO%20HK%20Feb%202026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H activity"/>
      <sheetName val="Managment"/>
      <sheetName val="Storge"/>
      <sheetName val="COURIER FEES"/>
      <sheetName val="HK transctions"/>
      <sheetName val="Analyze"/>
      <sheetName val="EOR-IOR"/>
    </sheetNames>
    <sheetDataSet>
      <sheetData sheetId="0"/>
      <sheetData sheetId="1"/>
      <sheetData sheetId="2"/>
      <sheetData sheetId="3">
        <row r="27">
          <cell r="I27">
            <v>556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B42E-8F78-473A-BF12-3A932B7C36E0}">
  <sheetPr>
    <tabColor rgb="FFFFFF00"/>
    <pageSetUpPr fitToPage="1"/>
  </sheetPr>
  <dimension ref="A1:K34"/>
  <sheetViews>
    <sheetView tabSelected="1" zoomScale="70" zoomScaleNormal="70" zoomScaleSheetLayoutView="85" workbookViewId="0">
      <selection activeCell="I11" sqref="I11"/>
    </sheetView>
  </sheetViews>
  <sheetFormatPr defaultColWidth="10.42578125" defaultRowHeight="15.75"/>
  <cols>
    <col min="1" max="1" width="16.7109375" style="24" customWidth="1"/>
    <col min="2" max="2" width="12" style="24" customWidth="1"/>
    <col min="3" max="3" width="22.5703125" style="24" customWidth="1"/>
    <col min="4" max="4" width="43.85546875" style="24" customWidth="1"/>
    <col min="5" max="5" width="16.28515625" style="24" customWidth="1"/>
    <col min="6" max="6" width="12.140625" style="24" bestFit="1" customWidth="1"/>
    <col min="7" max="7" width="10.42578125" style="24"/>
    <col min="8" max="8" width="23.42578125" style="24" customWidth="1"/>
    <col min="9" max="9" width="29.7109375" style="24" customWidth="1"/>
    <col min="10" max="10" width="10.42578125" style="24"/>
    <col min="11" max="11" width="14" style="24" hidden="1" customWidth="1"/>
    <col min="12" max="16384" width="10.42578125" style="24"/>
  </cols>
  <sheetData>
    <row r="1" spans="1:11" s="3" customFormat="1" ht="40.15" customHeight="1" thickBot="1">
      <c r="A1" s="1"/>
      <c r="B1" s="1"/>
      <c r="C1" s="1" t="s">
        <v>0</v>
      </c>
      <c r="D1" s="1"/>
      <c r="E1" s="1"/>
      <c r="F1" s="2"/>
      <c r="G1" s="2"/>
      <c r="H1" s="2"/>
    </row>
    <row r="2" spans="1:11" s="3" customFormat="1" ht="31.15" customHeight="1" thickBot="1">
      <c r="A2" s="2"/>
      <c r="B2" s="1"/>
      <c r="C2" s="1"/>
      <c r="D2" s="4" t="s">
        <v>1</v>
      </c>
      <c r="E2" s="5">
        <v>2026</v>
      </c>
      <c r="F2" s="2"/>
      <c r="G2" s="2"/>
      <c r="H2" s="2"/>
      <c r="K2" s="6" t="s">
        <v>2</v>
      </c>
    </row>
    <row r="3" spans="1:11" s="3" customFormat="1" ht="17.25" thickBot="1">
      <c r="A3" s="7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9" t="s">
        <v>8</v>
      </c>
      <c r="G3" s="9" t="s">
        <v>9</v>
      </c>
      <c r="H3" s="9" t="s">
        <v>10</v>
      </c>
      <c r="K3" s="10" t="s">
        <v>1</v>
      </c>
    </row>
    <row r="4" spans="1:11" s="3" customFormat="1" ht="27" customHeight="1" thickBot="1">
      <c r="A4" s="11" t="s">
        <v>11</v>
      </c>
      <c r="B4" s="12" t="s">
        <v>12</v>
      </c>
      <c r="C4" s="12" t="s">
        <v>13</v>
      </c>
      <c r="D4" s="13" t="s">
        <v>14</v>
      </c>
      <c r="E4" s="12" t="s">
        <v>15</v>
      </c>
      <c r="F4" s="14">
        <v>21.2</v>
      </c>
      <c r="G4" s="15"/>
      <c r="H4" s="16">
        <f>G4*F4</f>
        <v>0</v>
      </c>
      <c r="I4" s="17"/>
      <c r="K4" s="10" t="s">
        <v>16</v>
      </c>
    </row>
    <row r="5" spans="1:11" s="3" customFormat="1" ht="27" customHeight="1" thickBot="1">
      <c r="A5" s="11" t="s">
        <v>11</v>
      </c>
      <c r="B5" s="12" t="s">
        <v>17</v>
      </c>
      <c r="C5" s="12" t="s">
        <v>18</v>
      </c>
      <c r="D5" s="13" t="s">
        <v>19</v>
      </c>
      <c r="E5" s="12" t="s">
        <v>20</v>
      </c>
      <c r="F5" s="14">
        <v>2.12</v>
      </c>
      <c r="G5" s="15"/>
      <c r="H5" s="16">
        <f t="shared" ref="H5:H29" si="0">G5*F5</f>
        <v>0</v>
      </c>
      <c r="I5" s="17"/>
      <c r="K5" s="10" t="s">
        <v>21</v>
      </c>
    </row>
    <row r="6" spans="1:11" s="3" customFormat="1" ht="27" customHeight="1" thickBot="1">
      <c r="A6" s="11" t="s">
        <v>11</v>
      </c>
      <c r="B6" s="12" t="s">
        <v>22</v>
      </c>
      <c r="C6" s="12" t="s">
        <v>23</v>
      </c>
      <c r="D6" s="13" t="s">
        <v>24</v>
      </c>
      <c r="E6" s="12" t="s">
        <v>25</v>
      </c>
      <c r="F6" s="14">
        <v>20</v>
      </c>
      <c r="G6" s="18"/>
      <c r="H6" s="16">
        <f t="shared" si="0"/>
        <v>0</v>
      </c>
      <c r="I6" s="17"/>
      <c r="K6" s="10" t="s">
        <v>26</v>
      </c>
    </row>
    <row r="7" spans="1:11" s="3" customFormat="1" ht="27" customHeight="1" thickBot="1">
      <c r="A7" s="11" t="s">
        <v>27</v>
      </c>
      <c r="B7" s="12" t="s">
        <v>28</v>
      </c>
      <c r="C7" s="12" t="s">
        <v>29</v>
      </c>
      <c r="D7" s="13" t="s">
        <v>30</v>
      </c>
      <c r="E7" s="12" t="s">
        <v>15</v>
      </c>
      <c r="F7" s="14">
        <v>21.2</v>
      </c>
      <c r="G7" s="15"/>
      <c r="H7" s="16">
        <f t="shared" si="0"/>
        <v>0</v>
      </c>
      <c r="I7" s="17"/>
      <c r="K7" s="10" t="s">
        <v>31</v>
      </c>
    </row>
    <row r="8" spans="1:11" s="3" customFormat="1" ht="33.6" customHeight="1" thickBot="1">
      <c r="A8" s="11" t="s">
        <v>27</v>
      </c>
      <c r="B8" s="12" t="s">
        <v>28</v>
      </c>
      <c r="C8" s="12" t="s">
        <v>32</v>
      </c>
      <c r="D8" s="13" t="s">
        <v>33</v>
      </c>
      <c r="E8" s="12" t="s">
        <v>15</v>
      </c>
      <c r="F8" s="14">
        <v>21.2</v>
      </c>
      <c r="G8" s="15"/>
      <c r="H8" s="16">
        <f t="shared" si="0"/>
        <v>0</v>
      </c>
      <c r="I8" s="17"/>
      <c r="K8" s="10" t="s">
        <v>34</v>
      </c>
    </row>
    <row r="9" spans="1:11" s="3" customFormat="1" ht="35.450000000000003" customHeight="1" thickBot="1">
      <c r="A9" s="11" t="s">
        <v>27</v>
      </c>
      <c r="B9" s="12" t="s">
        <v>17</v>
      </c>
      <c r="C9" s="12" t="s">
        <v>18</v>
      </c>
      <c r="D9" s="19" t="s">
        <v>35</v>
      </c>
      <c r="E9" s="12" t="s">
        <v>20</v>
      </c>
      <c r="F9" s="14">
        <v>2.12</v>
      </c>
      <c r="G9" s="15"/>
      <c r="H9" s="16">
        <f t="shared" si="0"/>
        <v>0</v>
      </c>
      <c r="I9" s="17"/>
      <c r="K9" s="10" t="s">
        <v>36</v>
      </c>
    </row>
    <row r="10" spans="1:11" s="3" customFormat="1" ht="27" customHeight="1" thickBot="1">
      <c r="A10" s="11" t="s">
        <v>27</v>
      </c>
      <c r="B10" s="12" t="s">
        <v>22</v>
      </c>
      <c r="C10" s="12" t="s">
        <v>37</v>
      </c>
      <c r="D10" s="19" t="s">
        <v>38</v>
      </c>
      <c r="E10" s="12" t="s">
        <v>25</v>
      </c>
      <c r="F10" s="14">
        <v>20</v>
      </c>
      <c r="G10" s="18"/>
      <c r="H10" s="16">
        <f t="shared" si="0"/>
        <v>0</v>
      </c>
      <c r="I10" s="17"/>
      <c r="K10" s="10" t="s">
        <v>39</v>
      </c>
    </row>
    <row r="11" spans="1:11" s="3" customFormat="1" ht="31.15" customHeight="1" thickBot="1">
      <c r="A11" s="11" t="s">
        <v>27</v>
      </c>
      <c r="B11" s="12" t="s">
        <v>22</v>
      </c>
      <c r="C11" s="12" t="s">
        <v>40</v>
      </c>
      <c r="D11" s="13" t="s">
        <v>41</v>
      </c>
      <c r="E11" s="12" t="s">
        <v>25</v>
      </c>
      <c r="F11" s="14">
        <v>25</v>
      </c>
      <c r="G11" s="18"/>
      <c r="H11" s="16">
        <f t="shared" si="0"/>
        <v>0</v>
      </c>
      <c r="I11" s="17"/>
      <c r="K11" s="10" t="s">
        <v>42</v>
      </c>
    </row>
    <row r="12" spans="1:11" s="3" customFormat="1" ht="27" customHeight="1" thickBot="1">
      <c r="A12" s="11" t="s">
        <v>43</v>
      </c>
      <c r="B12" s="12" t="s">
        <v>44</v>
      </c>
      <c r="C12" s="12" t="s">
        <v>45</v>
      </c>
      <c r="D12" s="13" t="s">
        <v>46</v>
      </c>
      <c r="E12" s="12" t="s">
        <v>47</v>
      </c>
      <c r="F12" s="14">
        <v>42.5</v>
      </c>
      <c r="G12" s="18"/>
      <c r="H12" s="16">
        <f t="shared" si="0"/>
        <v>0</v>
      </c>
      <c r="I12" s="17"/>
      <c r="K12" s="10" t="s">
        <v>48</v>
      </c>
    </row>
    <row r="13" spans="1:11" s="3" customFormat="1" ht="33.6" customHeight="1" thickBot="1">
      <c r="A13" s="11" t="s">
        <v>43</v>
      </c>
      <c r="B13" s="12" t="s">
        <v>44</v>
      </c>
      <c r="C13" s="12" t="s">
        <v>49</v>
      </c>
      <c r="D13" s="19" t="s">
        <v>50</v>
      </c>
      <c r="E13" s="12" t="s">
        <v>51</v>
      </c>
      <c r="F13" s="14">
        <v>425</v>
      </c>
      <c r="G13" s="18"/>
      <c r="H13" s="16">
        <f t="shared" si="0"/>
        <v>0</v>
      </c>
      <c r="I13" s="17"/>
      <c r="K13" s="20" t="s">
        <v>52</v>
      </c>
    </row>
    <row r="14" spans="1:11" s="3" customFormat="1" ht="27" customHeight="1">
      <c r="A14" s="11" t="s">
        <v>22</v>
      </c>
      <c r="B14" s="12" t="s">
        <v>53</v>
      </c>
      <c r="C14" s="12" t="s">
        <v>54</v>
      </c>
      <c r="D14" s="13" t="s">
        <v>55</v>
      </c>
      <c r="E14" s="12" t="s">
        <v>20</v>
      </c>
      <c r="F14" s="14">
        <v>20</v>
      </c>
      <c r="G14" s="18"/>
      <c r="H14" s="16">
        <f t="shared" si="0"/>
        <v>0</v>
      </c>
      <c r="I14" s="17"/>
    </row>
    <row r="15" spans="1:11" s="3" customFormat="1" ht="27" customHeight="1">
      <c r="A15" s="11" t="s">
        <v>22</v>
      </c>
      <c r="B15" s="12" t="s">
        <v>56</v>
      </c>
      <c r="C15" s="12" t="s">
        <v>57</v>
      </c>
      <c r="D15" s="13" t="s">
        <v>58</v>
      </c>
      <c r="E15" s="12" t="s">
        <v>59</v>
      </c>
      <c r="F15" s="14">
        <v>22</v>
      </c>
      <c r="G15" s="18"/>
      <c r="H15" s="16">
        <f t="shared" si="0"/>
        <v>0</v>
      </c>
      <c r="I15" s="21"/>
    </row>
    <row r="16" spans="1:11" s="3" customFormat="1" ht="32.25">
      <c r="A16" s="11" t="s">
        <v>22</v>
      </c>
      <c r="B16" s="12" t="s">
        <v>56</v>
      </c>
      <c r="C16" s="12" t="s">
        <v>60</v>
      </c>
      <c r="D16" s="13" t="s">
        <v>61</v>
      </c>
      <c r="E16" s="12" t="s">
        <v>59</v>
      </c>
      <c r="F16" s="14">
        <v>95.4</v>
      </c>
      <c r="G16" s="18"/>
      <c r="H16" s="16">
        <f t="shared" si="0"/>
        <v>0</v>
      </c>
      <c r="I16" s="22"/>
    </row>
    <row r="17" spans="1:10" s="3" customFormat="1" ht="32.450000000000003" customHeight="1">
      <c r="A17" s="11" t="s">
        <v>22</v>
      </c>
      <c r="B17" s="12" t="s">
        <v>56</v>
      </c>
      <c r="C17" s="12" t="s">
        <v>62</v>
      </c>
      <c r="D17" s="13" t="s">
        <v>63</v>
      </c>
      <c r="E17" s="12" t="s">
        <v>64</v>
      </c>
      <c r="F17" s="14">
        <v>12</v>
      </c>
      <c r="G17" s="18"/>
      <c r="H17" s="16">
        <f t="shared" si="0"/>
        <v>0</v>
      </c>
      <c r="I17" s="17"/>
    </row>
    <row r="18" spans="1:10" s="3" customFormat="1" ht="27" customHeight="1">
      <c r="A18" s="11" t="s">
        <v>22</v>
      </c>
      <c r="B18" s="12" t="s">
        <v>65</v>
      </c>
      <c r="C18" s="12" t="s">
        <v>66</v>
      </c>
      <c r="D18" s="13" t="s">
        <v>67</v>
      </c>
      <c r="E18" s="12" t="s">
        <v>68</v>
      </c>
      <c r="F18" s="14">
        <v>3.18</v>
      </c>
      <c r="G18" s="15"/>
      <c r="H18" s="16">
        <f>G18*F18</f>
        <v>0</v>
      </c>
      <c r="I18" s="17"/>
      <c r="J18" s="17"/>
    </row>
    <row r="19" spans="1:10" s="3" customFormat="1" ht="27" customHeight="1">
      <c r="A19" s="11" t="s">
        <v>22</v>
      </c>
      <c r="B19" s="12" t="s">
        <v>65</v>
      </c>
      <c r="C19" s="12" t="s">
        <v>69</v>
      </c>
      <c r="D19" s="19" t="s">
        <v>70</v>
      </c>
      <c r="E19" s="12" t="s">
        <v>71</v>
      </c>
      <c r="F19" s="14">
        <v>12.5</v>
      </c>
      <c r="G19" s="18"/>
      <c r="H19" s="16">
        <f>G19*F19*1.12</f>
        <v>0</v>
      </c>
      <c r="I19" s="17"/>
    </row>
    <row r="20" spans="1:10" s="3" customFormat="1" ht="27" customHeight="1">
      <c r="A20" s="11" t="s">
        <v>22</v>
      </c>
      <c r="B20" s="12" t="s">
        <v>65</v>
      </c>
      <c r="C20" s="12" t="s">
        <v>72</v>
      </c>
      <c r="D20" s="13" t="s">
        <v>73</v>
      </c>
      <c r="E20" s="12" t="s">
        <v>20</v>
      </c>
      <c r="F20" s="14">
        <v>1.5</v>
      </c>
      <c r="G20" s="15"/>
      <c r="H20" s="16">
        <f>G20*F20</f>
        <v>0</v>
      </c>
      <c r="I20" s="17"/>
    </row>
    <row r="21" spans="1:10" s="3" customFormat="1" ht="27" customHeight="1">
      <c r="A21" s="11" t="s">
        <v>74</v>
      </c>
      <c r="B21" s="12" t="s">
        <v>75</v>
      </c>
      <c r="C21" s="12" t="s">
        <v>76</v>
      </c>
      <c r="D21" s="13" t="s">
        <v>77</v>
      </c>
      <c r="E21" s="12" t="s">
        <v>15</v>
      </c>
      <c r="F21" s="14">
        <v>48</v>
      </c>
      <c r="G21" s="18"/>
      <c r="H21" s="16">
        <f t="shared" si="0"/>
        <v>0</v>
      </c>
      <c r="I21" s="17"/>
    </row>
    <row r="22" spans="1:10" s="3" customFormat="1" ht="27" customHeight="1">
      <c r="A22" s="11" t="s">
        <v>74</v>
      </c>
      <c r="B22" s="12" t="s">
        <v>75</v>
      </c>
      <c r="C22" s="12" t="s">
        <v>78</v>
      </c>
      <c r="D22" s="13" t="s">
        <v>79</v>
      </c>
      <c r="E22" s="12" t="s">
        <v>15</v>
      </c>
      <c r="F22" s="14">
        <v>32</v>
      </c>
      <c r="G22" s="18"/>
      <c r="H22" s="16">
        <f t="shared" si="0"/>
        <v>0</v>
      </c>
      <c r="I22" s="17"/>
    </row>
    <row r="23" spans="1:10" s="3" customFormat="1" ht="33.6" customHeight="1">
      <c r="A23" s="11" t="s">
        <v>74</v>
      </c>
      <c r="B23" s="12" t="s">
        <v>75</v>
      </c>
      <c r="C23" s="12" t="s">
        <v>80</v>
      </c>
      <c r="D23" s="13" t="s">
        <v>81</v>
      </c>
      <c r="E23" s="12" t="s">
        <v>82</v>
      </c>
      <c r="F23" s="14">
        <v>10.6</v>
      </c>
      <c r="G23" s="18"/>
      <c r="H23" s="16">
        <f t="shared" si="0"/>
        <v>0</v>
      </c>
      <c r="I23" s="17"/>
      <c r="J23" s="17"/>
    </row>
    <row r="24" spans="1:10" s="3" customFormat="1" ht="27" customHeight="1">
      <c r="A24" s="11" t="s">
        <v>74</v>
      </c>
      <c r="B24" s="12" t="s">
        <v>75</v>
      </c>
      <c r="C24" s="12" t="s">
        <v>83</v>
      </c>
      <c r="D24" s="13" t="s">
        <v>84</v>
      </c>
      <c r="E24" s="12" t="s">
        <v>85</v>
      </c>
      <c r="F24" s="14">
        <v>25</v>
      </c>
      <c r="G24" s="18"/>
      <c r="H24" s="16">
        <f t="shared" si="0"/>
        <v>0</v>
      </c>
      <c r="I24" s="17"/>
    </row>
    <row r="25" spans="1:10" s="3" customFormat="1" ht="27" customHeight="1">
      <c r="A25" s="11" t="s">
        <v>74</v>
      </c>
      <c r="B25" s="12" t="s">
        <v>86</v>
      </c>
      <c r="C25" s="12" t="s">
        <v>87</v>
      </c>
      <c r="D25" s="13" t="s">
        <v>88</v>
      </c>
      <c r="E25" s="12" t="s">
        <v>59</v>
      </c>
      <c r="F25" s="14">
        <v>155</v>
      </c>
      <c r="G25" s="18"/>
      <c r="H25" s="16">
        <f t="shared" si="0"/>
        <v>0</v>
      </c>
      <c r="I25" s="17"/>
    </row>
    <row r="26" spans="1:10" s="3" customFormat="1" ht="27" customHeight="1">
      <c r="A26" s="11" t="s">
        <v>74</v>
      </c>
      <c r="B26" s="12" t="s">
        <v>89</v>
      </c>
      <c r="C26" s="12" t="s">
        <v>90</v>
      </c>
      <c r="D26" s="13" t="s">
        <v>91</v>
      </c>
      <c r="E26" s="12" t="s">
        <v>51</v>
      </c>
      <c r="F26" s="14">
        <v>400</v>
      </c>
      <c r="G26" s="18"/>
      <c r="H26" s="16">
        <f t="shared" si="0"/>
        <v>0</v>
      </c>
      <c r="I26" s="17"/>
    </row>
    <row r="27" spans="1:10" s="3" customFormat="1" ht="27" customHeight="1">
      <c r="A27" s="11" t="s">
        <v>92</v>
      </c>
      <c r="B27" s="12" t="s">
        <v>93</v>
      </c>
      <c r="C27" s="12" t="s">
        <v>94</v>
      </c>
      <c r="D27" s="19" t="s">
        <v>95</v>
      </c>
      <c r="E27" s="12" t="s">
        <v>96</v>
      </c>
      <c r="F27" s="14">
        <v>115</v>
      </c>
      <c r="G27" s="18"/>
      <c r="H27" s="16">
        <f t="shared" si="0"/>
        <v>0</v>
      </c>
      <c r="I27" s="17"/>
    </row>
    <row r="28" spans="1:10" s="3" customFormat="1" ht="27" customHeight="1">
      <c r="A28" s="11" t="s">
        <v>97</v>
      </c>
      <c r="B28" s="12" t="s">
        <v>97</v>
      </c>
      <c r="C28" s="19" t="s">
        <v>98</v>
      </c>
      <c r="D28" s="19" t="s">
        <v>98</v>
      </c>
      <c r="E28" s="12"/>
      <c r="F28" s="14"/>
      <c r="G28" s="18"/>
      <c r="H28" s="16">
        <f>'[1]COURIER FEES'!I27</f>
        <v>556</v>
      </c>
      <c r="I28" s="17"/>
    </row>
    <row r="29" spans="1:10" s="3" customFormat="1" ht="27" customHeight="1">
      <c r="A29" s="11" t="s">
        <v>97</v>
      </c>
      <c r="B29" s="12" t="s">
        <v>97</v>
      </c>
      <c r="C29" s="12" t="s">
        <v>99</v>
      </c>
      <c r="D29" s="12"/>
      <c r="E29" s="12"/>
      <c r="F29" s="12"/>
      <c r="G29" s="23"/>
      <c r="H29" s="16">
        <f t="shared" si="0"/>
        <v>0</v>
      </c>
      <c r="I29" s="17"/>
    </row>
    <row r="30" spans="1:10" s="3" customFormat="1" ht="25.5" customHeight="1">
      <c r="G30" s="9" t="s">
        <v>10</v>
      </c>
      <c r="H30" s="9">
        <f>SUM(H4:H29)</f>
        <v>556</v>
      </c>
    </row>
    <row r="31" spans="1:10" s="3" customFormat="1" ht="22.9" customHeight="1"/>
    <row r="32" spans="1:10" s="3" customFormat="1" ht="22.9" customHeight="1"/>
    <row r="33" spans="1:8" s="3" customFormat="1" ht="24" customHeight="1"/>
    <row r="34" spans="1:8" s="3" customFormat="1">
      <c r="A34" s="24"/>
      <c r="B34" s="24"/>
      <c r="C34" s="24"/>
      <c r="D34" s="24"/>
      <c r="E34" s="24"/>
      <c r="F34" s="24"/>
      <c r="G34" s="24"/>
      <c r="H34" s="24"/>
    </row>
  </sheetData>
  <dataValidations count="1">
    <dataValidation type="list" allowBlank="1" showInputMessage="1" showErrorMessage="1" sqref="D2" xr:uid="{FD59BE20-97C1-4C90-8ACF-29F9A55E3338}">
      <formula1>$K$2:$K$13</formula1>
    </dataValidation>
  </dataValidations>
  <pageMargins left="0.7" right="0.7" top="0.75" bottom="0.75" header="0.3" footer="0.3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 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Nathan Barak</dc:creator>
  <cp:lastModifiedBy>Jacob Nathan Barak</cp:lastModifiedBy>
  <dcterms:created xsi:type="dcterms:W3CDTF">2026-03-30T13:04:41Z</dcterms:created>
  <dcterms:modified xsi:type="dcterms:W3CDTF">2026-03-30T13:06:12Z</dcterms:modified>
</cp:coreProperties>
</file>