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og2022-my.sharepoint.com/personal/tomer_l_unilog_company/Documents/יונילוג/AI/פרויקט עם יעקב/"/>
    </mc:Choice>
  </mc:AlternateContent>
  <xr:revisionPtr revIDLastSave="92" documentId="13_ncr:1_{DA270363-30B9-4A15-9336-4966F54DEE40}" xr6:coauthVersionLast="47" xr6:coauthVersionMax="47" xr10:uidLastSave="{8E4E716C-4764-4A5D-98B2-69C6392E9BEA}"/>
  <bookViews>
    <workbookView xWindow="-120" yWindow="-120" windowWidth="29040" windowHeight="15720" xr2:uid="{3E2F84F2-311B-414B-AADB-02AFCE723FC9}"/>
  </bookViews>
  <sheets>
    <sheet name="Rates" sheetId="1" r:id="rId1"/>
    <sheet name="Storage 03 2026" sheetId="2" r:id="rId2"/>
    <sheet name="Scans Inbound" sheetId="3" r:id="rId3"/>
    <sheet name="Scans Outbound" sheetId="4" r:id="rId4"/>
    <sheet name="Distribution outbound" sheetId="5" r:id="rId5"/>
    <sheet name="VAS" sheetId="6" r:id="rId6"/>
    <sheet name="Management" sheetId="7" r:id="rId11"/>
    <sheet name="Analyze" sheetId="8" r:id="rId12"/>
  </sheets>
  <definedNames>
    <definedName name="_xlnm._FilterDatabase" localSheetId="4" hidden="1">'Distribution outbound '!$A$1:$S$40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4" l="1"/>
  <c r="F33" i="1"/>
  <c r="C20" i="6" l="1"/>
  <c r="F40" i="1" s="1"/>
  <c r="G40" i="1" s="1"/>
  <c r="N14" i="6"/>
  <c r="I14" i="6"/>
  <c r="F14" i="6"/>
  <c r="F27" i="1" s="1"/>
  <c r="C14" i="6"/>
  <c r="L3" i="5"/>
  <c r="B52" i="1" s="1"/>
  <c r="B59" i="1" s="1"/>
  <c r="T6" i="4"/>
  <c r="F21" i="1" s="1"/>
  <c r="G21" i="1" s="1"/>
  <c r="S6" i="4"/>
  <c r="F23" i="1" s="1"/>
  <c r="G23" i="1" s="1"/>
  <c r="R6" i="4"/>
  <c r="F20" i="1" s="1"/>
  <c r="G20" i="1" s="1"/>
  <c r="Q6" i="4"/>
  <c r="F22" i="1" s="1"/>
  <c r="G22" i="1" s="1"/>
  <c r="M2" i="4"/>
  <c r="F17" i="1" s="1"/>
  <c r="G17" i="1" s="1"/>
  <c r="S2" i="3"/>
  <c r="F9" i="1" s="1"/>
  <c r="G9" i="1" s="1"/>
  <c r="R2" i="3"/>
  <c r="F11" i="1" s="1"/>
  <c r="G11" i="1" s="1"/>
  <c r="Q2" i="3"/>
  <c r="P2" i="3"/>
  <c r="L1" i="3"/>
  <c r="J5" i="2"/>
  <c r="F26" i="1" s="1"/>
  <c r="G26" i="1" s="1"/>
  <c r="I5" i="2"/>
  <c r="F25" i="1" s="1"/>
  <c r="G25" i="1" s="1"/>
  <c r="G44" i="1"/>
  <c r="G43" i="1"/>
  <c r="G47" i="1" s="1"/>
  <c r="B55" i="1" s="1"/>
  <c r="G42" i="1"/>
  <c r="G41" i="1"/>
  <c r="F39" i="1"/>
  <c r="G39" i="1" s="1"/>
  <c r="G38" i="1"/>
  <c r="G37" i="1"/>
  <c r="G36" i="1"/>
  <c r="G35" i="1"/>
  <c r="G34" i="1"/>
  <c r="G33" i="1"/>
  <c r="G32" i="1"/>
  <c r="G31" i="1"/>
  <c r="G30" i="1"/>
  <c r="G29" i="1"/>
  <c r="G28" i="1"/>
  <c r="G27" i="1"/>
  <c r="G24" i="1"/>
  <c r="G19" i="1"/>
  <c r="G18" i="1"/>
  <c r="F16" i="1"/>
  <c r="G16" i="1" s="1"/>
  <c r="F15" i="1"/>
  <c r="G15" i="1" s="1"/>
  <c r="G14" i="1"/>
  <c r="G13" i="1"/>
  <c r="F13" i="1"/>
  <c r="F12" i="1"/>
  <c r="G12" i="1" s="1"/>
  <c r="F10" i="1"/>
  <c r="G10" i="1" s="1"/>
  <c r="F8" i="1"/>
  <c r="G8" i="1" s="1"/>
  <c r="F7" i="1" l="1"/>
  <c r="G7" i="1" s="1"/>
  <c r="G46" i="1" s="1"/>
  <c r="B51" i="1" s="1"/>
  <c r="B58" i="1" l="1"/>
  <c r="B60" i="1" s="1"/>
  <c r="B53" i="1"/>
  <c r="B54" i="1" s="1"/>
</calcChain>
</file>

<file path=xl/sharedStrings.xml><?xml version="1.0" encoding="utf-8"?>
<sst xmlns="http://schemas.openxmlformats.org/spreadsheetml/2006/main" count="275" uniqueCount="133">
  <si>
    <t>AFIMILK New Zealand - March   2026</t>
  </si>
  <si>
    <t>Territory:</t>
  </si>
  <si>
    <t>New Zealand</t>
  </si>
  <si>
    <t>Location:</t>
  </si>
  <si>
    <t>Auckland</t>
  </si>
  <si>
    <t>Units Of Measurement:</t>
  </si>
  <si>
    <t>kg / km</t>
  </si>
  <si>
    <t>Currency:</t>
  </si>
  <si>
    <t>NZD</t>
  </si>
  <si>
    <t>Segment</t>
  </si>
  <si>
    <t>Clause</t>
  </si>
  <si>
    <t>Category</t>
  </si>
  <si>
    <t>Unit Of Measure</t>
  </si>
  <si>
    <t>Rate</t>
  </si>
  <si>
    <t>QTY</t>
  </si>
  <si>
    <t>Total</t>
  </si>
  <si>
    <t>Details</t>
  </si>
  <si>
    <t>Inbound</t>
  </si>
  <si>
    <t>Per Order</t>
  </si>
  <si>
    <t>Regular</t>
  </si>
  <si>
    <t>Order</t>
  </si>
  <si>
    <t>Scans Inbound' sheet</t>
  </si>
  <si>
    <t>Per Unit Scan</t>
  </si>
  <si>
    <t>Per Item</t>
  </si>
  <si>
    <t>Line</t>
  </si>
  <si>
    <t>Per Serial</t>
  </si>
  <si>
    <t>Serial</t>
  </si>
  <si>
    <t>Per Box</t>
  </si>
  <si>
    <t>Box</t>
  </si>
  <si>
    <t>Per Pallet</t>
  </si>
  <si>
    <t>Pallet</t>
  </si>
  <si>
    <t>Return</t>
  </si>
  <si>
    <t>Scans' sheet (previously RMA Processing fee)</t>
  </si>
  <si>
    <t>Scans' sheet</t>
  </si>
  <si>
    <t>Outbound</t>
  </si>
  <si>
    <t>Domestic</t>
  </si>
  <si>
    <t>Scans Outbound' sheet</t>
  </si>
  <si>
    <t>International</t>
  </si>
  <si>
    <t>Cross-Doc</t>
  </si>
  <si>
    <t>Exws Handling</t>
  </si>
  <si>
    <t>Surcharge Per Order</t>
  </si>
  <si>
    <t>Storage</t>
  </si>
  <si>
    <t>Location</t>
  </si>
  <si>
    <t>Per Week</t>
  </si>
  <si>
    <t>Storage' sheet</t>
  </si>
  <si>
    <t>Shelf</t>
  </si>
  <si>
    <t>VAS</t>
  </si>
  <si>
    <t>MIR</t>
  </si>
  <si>
    <t>Exception Case</t>
  </si>
  <si>
    <t>Each</t>
  </si>
  <si>
    <t>VAS' sheet</t>
  </si>
  <si>
    <t>Labour</t>
  </si>
  <si>
    <t>WH Labour Hours</t>
  </si>
  <si>
    <t>Per Hour</t>
  </si>
  <si>
    <t>CS/Admin Labor Hours</t>
  </si>
  <si>
    <t>Technician</t>
  </si>
  <si>
    <t>Per H (Min 2h)</t>
  </si>
  <si>
    <t>Handling</t>
  </si>
  <si>
    <t>Materials</t>
  </si>
  <si>
    <t>Cost +%</t>
  </si>
  <si>
    <t>Wrapping</t>
  </si>
  <si>
    <t>Repacking, Sorting Or Restacking</t>
  </si>
  <si>
    <t>Case</t>
  </si>
  <si>
    <t>Container</t>
  </si>
  <si>
    <t>ATF Fee</t>
  </si>
  <si>
    <t>Per Container</t>
  </si>
  <si>
    <t>Container Devanning - Palletised</t>
  </si>
  <si>
    <t>Per 20'</t>
  </si>
  <si>
    <t>Container Devanning - Loose</t>
  </si>
  <si>
    <t>Per 40'</t>
  </si>
  <si>
    <t>Management</t>
  </si>
  <si>
    <t>Miscellaneous</t>
  </si>
  <si>
    <t>Manual Order Creation Or Editing</t>
  </si>
  <si>
    <t>Order Cancellation</t>
  </si>
  <si>
    <t>3rd Party Courier Account</t>
  </si>
  <si>
    <t>Label</t>
  </si>
  <si>
    <t>Pick Up Request</t>
  </si>
  <si>
    <t>Request</t>
  </si>
  <si>
    <t>IT Programming</t>
  </si>
  <si>
    <t>System Development</t>
  </si>
  <si>
    <t>Management Fee</t>
  </si>
  <si>
    <t>Account Administration</t>
  </si>
  <si>
    <t>Month</t>
  </si>
  <si>
    <t>Monthly Minimum Charge</t>
  </si>
  <si>
    <t>Minimum Fee</t>
  </si>
  <si>
    <t>2,090.00 </t>
  </si>
  <si>
    <t>Total NZD</t>
  </si>
  <si>
    <t>Total USD</t>
  </si>
  <si>
    <t>WH total</t>
  </si>
  <si>
    <t>Distribution</t>
  </si>
  <si>
    <t>Distribution outbound' sheet</t>
  </si>
  <si>
    <t>GST</t>
  </si>
  <si>
    <t>Total in NZD</t>
  </si>
  <si>
    <t xml:space="preserve">Monthly management fee </t>
  </si>
  <si>
    <t>WH total (including GST)</t>
  </si>
  <si>
    <t>Distribution (including GST)</t>
  </si>
  <si>
    <t>Name (Warehouses)</t>
  </si>
  <si>
    <t xml:space="preserve">Weeks </t>
  </si>
  <si>
    <t>Day of Created At (Stats)</t>
  </si>
  <si>
    <t>Locations of type Pallet</t>
  </si>
  <si>
    <t>Locations of type Shelf</t>
  </si>
  <si>
    <t>Rohlig NZ</t>
  </si>
  <si>
    <t>Locations of Pallet</t>
  </si>
  <si>
    <t>Locations of Shelf</t>
  </si>
  <si>
    <t>inbound</t>
  </si>
  <si>
    <t>Sub Inventory</t>
  </si>
  <si>
    <t>Name (Service Levels)</t>
  </si>
  <si>
    <t>Ref (Orders)</t>
  </si>
  <si>
    <t>Inbound at</t>
  </si>
  <si>
    <t>Item</t>
  </si>
  <si>
    <t>box</t>
  </si>
  <si>
    <t>item</t>
  </si>
  <si>
    <t>pallet</t>
  </si>
  <si>
    <t>serial</t>
  </si>
  <si>
    <t>RMA Processing fee </t>
  </si>
  <si>
    <t>inbound Total</t>
  </si>
  <si>
    <t>Dom/Int'l</t>
  </si>
  <si>
    <t xml:space="preserve">Shipped out </t>
  </si>
  <si>
    <t>Repacking/Labeling</t>
  </si>
  <si>
    <t>CD TOTAL</t>
  </si>
  <si>
    <t>Date</t>
  </si>
  <si>
    <t>Week Day</t>
  </si>
  <si>
    <t>Order Ref</t>
  </si>
  <si>
    <t>Track Refs</t>
  </si>
  <si>
    <t>charge_Rate</t>
  </si>
  <si>
    <t>Rate including fuel</t>
  </si>
  <si>
    <t>Total (Inc. GST)</t>
  </si>
  <si>
    <t>Total:</t>
  </si>
  <si>
    <t>Exception Case MIR Ref</t>
  </si>
  <si>
    <t>Ibnound Sorting fee (If required)</t>
  </si>
  <si>
    <t>Outbound  orders total</t>
  </si>
  <si>
    <t>Outbound Total</t>
  </si>
  <si>
    <t>Inbound  orders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</si>
</sst>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_ ;\-#,##0.00\ "/>
    <numFmt numFmtId="165" formatCode="[$NZD]\ #,##0.00"/>
    <numFmt numFmtId="166" formatCode="&quot;$&quot;#,##0.00_);[Red]\(&quot;$&quot;#,##0.00\)"/>
    <numFmt numFmtId="167" formatCode="[$USD]\ #,##0.00"/>
    <numFmt numFmtId="168" formatCode="#,##0_ ;\-#,##0\ "/>
    <numFmt numFmtId="169" formatCode="\$\ 0.00"/>
    <numFmt numFmtId="170" formatCode="\+0%;\-0%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</font>
    <font>
      <sz val="16"/>
      <name val="Calibri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1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4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2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F5395"/>
      </patternFill>
    </fill>
    <fill>
      <patternFill patternType="solid">
        <fgColor rgb="FF305496"/>
        <bgColor rgb="FF000000"/>
      </patternFill>
    </fill>
    <fill>
      <patternFill patternType="solid">
        <fgColor rgb="FFD9FBFB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7">
    <xf numFmtId="0" fontId="0" fillId="0" borderId="0"/>
    <xf numFmtId="0" fontId="35" fillId="0" borderId="0"/>
    <xf numFmtId="0" fontId="5" fillId="0" borderId="0"/>
    <xf numFmtId="0" fontId="6" fillId="0" borderId="9"/>
    <xf numFmtId="0" fontId="7" fillId="0" borderId="10"/>
    <xf numFmtId="0" fontId="8" fillId="0" borderId="11"/>
    <xf numFmtId="0" fontId="8" fillId="0" borderId="0"/>
    <xf numFmtId="0" fontId="9" fillId="6" borderId="0"/>
    <xf numFmtId="0" fontId="10" fillId="7" borderId="0"/>
    <xf numFmtId="0" fontId="11" fillId="8" borderId="0"/>
    <xf numFmtId="0" fontId="12" fillId="9" borderId="12"/>
    <xf numFmtId="0" fontId="13" fillId="10" borderId="13"/>
    <xf numFmtId="0" fontId="14" fillId="10" borderId="12"/>
    <xf numFmtId="0" fontId="15" fillId="0" borderId="14"/>
    <xf numFmtId="0" fontId="16" fillId="11" borderId="15"/>
    <xf numFmtId="0" fontId="17" fillId="0" borderId="0"/>
    <xf numFmtId="0" fontId="18" fillId="0" borderId="0"/>
    <xf numFmtId="0" fontId="1" fillId="0" borderId="16"/>
    <xf numFmtId="0" fontId="19" fillId="12" borderId="0"/>
    <xf numFmtId="0" fontId="4" fillId="13" borderId="0"/>
    <xf numFmtId="0" fontId="4" fillId="14" borderId="0"/>
    <xf numFmtId="0" fontId="4" fillId="15" borderId="0"/>
    <xf numFmtId="0" fontId="19" fillId="16" borderId="0"/>
    <xf numFmtId="0" fontId="4" fillId="17" borderId="0"/>
    <xf numFmtId="0" fontId="4" fillId="18" borderId="0"/>
    <xf numFmtId="0" fontId="4" fillId="19" borderId="0"/>
    <xf numFmtId="0" fontId="19" fillId="20" borderId="0"/>
    <xf numFmtId="0" fontId="4" fillId="21" borderId="0"/>
    <xf numFmtId="0" fontId="4" fillId="22" borderId="0"/>
    <xf numFmtId="0" fontId="4" fillId="23" borderId="0"/>
    <xf numFmtId="0" fontId="19" fillId="24" borderId="0"/>
    <xf numFmtId="0" fontId="4" fillId="25" borderId="0"/>
    <xf numFmtId="0" fontId="4" fillId="26" borderId="0"/>
    <xf numFmtId="0" fontId="4" fillId="27" borderId="0"/>
    <xf numFmtId="0" fontId="19" fillId="28" borderId="0"/>
    <xf numFmtId="0" fontId="4" fillId="29" borderId="0"/>
    <xf numFmtId="0" fontId="4" fillId="30" borderId="0"/>
    <xf numFmtId="0" fontId="4" fillId="31" borderId="0"/>
    <xf numFmtId="0" fontId="19" fillId="32" borderId="0"/>
    <xf numFmtId="0" fontId="4" fillId="33" borderId="0"/>
    <xf numFmtId="0" fontId="4" fillId="34" borderId="0"/>
    <xf numFmtId="0" fontId="4" fillId="35" borderId="0"/>
    <xf numFmtId="0" fontId="35" fillId="0" borderId="0"/>
    <xf numFmtId="0" fontId="2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4" fillId="0" borderId="0"/>
    <xf numFmtId="0" fontId="35" fillId="0" borderId="0"/>
    <xf numFmtId="0" fontId="35" fillId="0" borderId="0"/>
    <xf numFmtId="0" fontId="35" fillId="0" borderId="0"/>
    <xf numFmtId="43" fontId="4" fillId="0" borderId="0"/>
    <xf numFmtId="43" fontId="4" fillId="0" borderId="0"/>
    <xf numFmtId="0" fontId="35" fillId="0" borderId="0"/>
    <xf numFmtId="0" fontId="35" fillId="0" borderId="0"/>
    <xf numFmtId="0" fontId="35" fillId="0" borderId="0"/>
    <xf numFmtId="0" fontId="49" fillId="0" borderId="0" applyNumberFormat="0" applyFill="0" applyBorder="0" applyAlignment="0" applyProtection="0"/>
  </cellStyleXfs>
  <cellXfs count="120">
    <xf numFmtId="0" fontId="0" fillId="0" borderId="0" xfId="0"/>
    <xf numFmtId="0" fontId="2" fillId="0" borderId="0" xfId="1" applyFont="1"/>
    <xf numFmtId="164" fontId="0" fillId="0" borderId="0" xfId="0" applyNumberFormat="1"/>
    <xf numFmtId="0" fontId="23" fillId="0" borderId="0" xfId="1" applyFont="1"/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6" fillId="42" borderId="17" xfId="0" applyFont="1" applyFill="1" applyBorder="1" applyAlignment="1">
      <alignment horizontal="center" vertical="center"/>
    </xf>
    <xf numFmtId="165" fontId="26" fillId="42" borderId="17" xfId="0" applyNumberFormat="1" applyFont="1" applyFill="1" applyBorder="1" applyAlignment="1">
      <alignment horizontal="center"/>
    </xf>
    <xf numFmtId="0" fontId="26" fillId="42" borderId="17" xfId="0" applyFont="1" applyFill="1" applyBorder="1"/>
    <xf numFmtId="166" fontId="34" fillId="42" borderId="17" xfId="0" applyNumberFormat="1" applyFont="1" applyFill="1" applyBorder="1" applyAlignment="1">
      <alignment horizontal="center" vertical="center"/>
    </xf>
    <xf numFmtId="0" fontId="27" fillId="2" borderId="3" xfId="0" applyFont="1" applyFill="1" applyBorder="1"/>
    <xf numFmtId="0" fontId="27" fillId="2" borderId="4" xfId="0" applyFont="1" applyFill="1" applyBorder="1"/>
    <xf numFmtId="0" fontId="27" fillId="2" borderId="5" xfId="0" applyFont="1" applyFill="1" applyBorder="1"/>
    <xf numFmtId="165" fontId="27" fillId="2" borderId="6" xfId="0" applyNumberFormat="1" applyFont="1" applyFill="1" applyBorder="1"/>
    <xf numFmtId="0" fontId="27" fillId="0" borderId="5" xfId="0" applyFont="1" applyBorder="1"/>
    <xf numFmtId="0" fontId="27" fillId="2" borderId="7" xfId="0" applyFont="1" applyFill="1" applyBorder="1"/>
    <xf numFmtId="165" fontId="27" fillId="2" borderId="8" xfId="0" applyNumberFormat="1" applyFont="1" applyFill="1" applyBorder="1"/>
    <xf numFmtId="0" fontId="26" fillId="2" borderId="3" xfId="0" applyFont="1" applyFill="1" applyBorder="1"/>
    <xf numFmtId="165" fontId="26" fillId="2" borderId="4" xfId="0" applyNumberFormat="1" applyFont="1" applyFill="1" applyBorder="1"/>
    <xf numFmtId="0" fontId="26" fillId="2" borderId="1" xfId="0" applyFont="1" applyFill="1" applyBorder="1"/>
    <xf numFmtId="167" fontId="26" fillId="2" borderId="2" xfId="0" applyNumberFormat="1" applyFont="1" applyFill="1" applyBorder="1"/>
    <xf numFmtId="0" fontId="27" fillId="0" borderId="0" xfId="0" applyFont="1"/>
    <xf numFmtId="0" fontId="27" fillId="5" borderId="5" xfId="0" applyFont="1" applyFill="1" applyBorder="1"/>
    <xf numFmtId="165" fontId="27" fillId="5" borderId="6" xfId="0" applyNumberFormat="1" applyFont="1" applyFill="1" applyBorder="1"/>
    <xf numFmtId="0" fontId="27" fillId="4" borderId="5" xfId="0" applyFont="1" applyFill="1" applyBorder="1"/>
    <xf numFmtId="165" fontId="27" fillId="4" borderId="6" xfId="0" applyNumberFormat="1" applyFont="1" applyFill="1" applyBorder="1"/>
    <xf numFmtId="0" fontId="2" fillId="0" borderId="0" xfId="1" applyFont="1" applyAlignment="1">
      <alignment vertical="top" wrapText="1"/>
    </xf>
    <xf numFmtId="0" fontId="36" fillId="0" borderId="0" xfId="1" applyFont="1"/>
    <xf numFmtId="39" fontId="3" fillId="0" borderId="0" xfId="49" applyNumberFormat="1" applyFont="1" applyAlignment="1">
      <alignment vertical="center"/>
    </xf>
    <xf numFmtId="39" fontId="3" fillId="0" borderId="0" xfId="59" applyNumberFormat="1" applyFont="1" applyAlignment="1">
      <alignment vertical="center"/>
    </xf>
    <xf numFmtId="0" fontId="0" fillId="0" borderId="17" xfId="0" applyBorder="1"/>
    <xf numFmtId="0" fontId="0" fillId="3" borderId="17" xfId="0" applyFill="1" applyBorder="1"/>
    <xf numFmtId="0" fontId="1" fillId="0" borderId="17" xfId="0" applyFont="1" applyBorder="1"/>
    <xf numFmtId="168" fontId="0" fillId="3" borderId="17" xfId="0" applyNumberFormat="1" applyFill="1" applyBorder="1"/>
    <xf numFmtId="0" fontId="20" fillId="36" borderId="17" xfId="0" applyFont="1" applyFill="1" applyBorder="1" applyAlignment="1">
      <alignment horizontal="left"/>
    </xf>
    <xf numFmtId="0" fontId="24" fillId="36" borderId="17" xfId="0" applyFont="1" applyFill="1" applyBorder="1" applyAlignment="1">
      <alignment horizontal="center"/>
    </xf>
    <xf numFmtId="2" fontId="41" fillId="0" borderId="0" xfId="1" applyNumberFormat="1" applyFont="1"/>
    <xf numFmtId="0" fontId="39" fillId="0" borderId="0" xfId="1" applyFont="1"/>
    <xf numFmtId="0" fontId="41" fillId="0" borderId="0" xfId="1" applyFont="1"/>
    <xf numFmtId="0" fontId="40" fillId="0" borderId="0" xfId="1" applyFont="1"/>
    <xf numFmtId="0" fontId="25" fillId="39" borderId="17" xfId="0" applyFont="1" applyFill="1" applyBorder="1" applyAlignment="1">
      <alignment horizontal="center" vertical="center"/>
    </xf>
    <xf numFmtId="0" fontId="39" fillId="0" borderId="0" xfId="1" applyFont="1" applyAlignment="1">
      <alignment vertical="top" wrapText="1"/>
    </xf>
    <xf numFmtId="0" fontId="20" fillId="39" borderId="18" xfId="0" applyFont="1" applyFill="1" applyBorder="1" applyAlignment="1">
      <alignment horizontal="left"/>
    </xf>
    <xf numFmtId="0" fontId="38" fillId="0" borderId="17" xfId="0" applyFont="1" applyBorder="1" applyAlignment="1">
      <alignment horizontal="center" vertical="center"/>
    </xf>
    <xf numFmtId="0" fontId="20" fillId="36" borderId="18" xfId="0" applyFont="1" applyFill="1" applyBorder="1" applyAlignment="1">
      <alignment horizontal="left"/>
    </xf>
    <xf numFmtId="0" fontId="20" fillId="38" borderId="17" xfId="0" applyFont="1" applyFill="1" applyBorder="1"/>
    <xf numFmtId="0" fontId="24" fillId="0" borderId="0" xfId="0" applyFont="1" applyAlignment="1">
      <alignment horizontal="center"/>
    </xf>
    <xf numFmtId="0" fontId="20" fillId="37" borderId="17" xfId="0" applyFont="1" applyFill="1" applyBorder="1" applyAlignment="1">
      <alignment horizontal="left"/>
    </xf>
    <xf numFmtId="0" fontId="20" fillId="37" borderId="17" xfId="0" applyFont="1" applyFill="1" applyBorder="1" applyAlignment="1">
      <alignment horizontal="center" vertical="center"/>
    </xf>
    <xf numFmtId="0" fontId="22" fillId="40" borderId="17" xfId="43" applyFont="1" applyFill="1" applyBorder="1" applyAlignment="1">
      <alignment horizontal="left" vertical="center" wrapText="1"/>
    </xf>
    <xf numFmtId="0" fontId="28" fillId="41" borderId="17" xfId="0" applyFont="1" applyFill="1" applyBorder="1" applyAlignment="1">
      <alignment horizontal="center" vertical="center"/>
    </xf>
    <xf numFmtId="0" fontId="28" fillId="41" borderId="17" xfId="0" applyFont="1" applyFill="1" applyBorder="1" applyAlignment="1">
      <alignment vertical="center"/>
    </xf>
    <xf numFmtId="0" fontId="22" fillId="0" borderId="17" xfId="0" applyFont="1" applyBorder="1" applyAlignment="1">
      <alignment horizontal="left" vertical="center" wrapText="1"/>
    </xf>
    <xf numFmtId="2" fontId="30" fillId="0" borderId="17" xfId="0" applyNumberFormat="1" applyFont="1" applyBorder="1" applyAlignment="1">
      <alignment horizontal="center" vertical="center" wrapText="1"/>
    </xf>
    <xf numFmtId="165" fontId="27" fillId="37" borderId="17" xfId="0" applyNumberFormat="1" applyFont="1" applyFill="1" applyBorder="1" applyAlignment="1">
      <alignment horizontal="center" vertical="center"/>
    </xf>
    <xf numFmtId="0" fontId="27" fillId="0" borderId="17" xfId="0" quotePrefix="1" applyFont="1" applyBorder="1" applyAlignment="1">
      <alignment vertical="center"/>
    </xf>
    <xf numFmtId="0" fontId="31" fillId="0" borderId="17" xfId="1" quotePrefix="1" applyFont="1" applyBorder="1"/>
    <xf numFmtId="0" fontId="29" fillId="0" borderId="17" xfId="0" applyFont="1" applyBorder="1" applyAlignment="1">
      <alignment horizontal="left" vertical="center" wrapText="1"/>
    </xf>
    <xf numFmtId="165" fontId="32" fillId="37" borderId="17" xfId="0" applyNumberFormat="1" applyFont="1" applyFill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37" fillId="2" borderId="17" xfId="0" applyFont="1" applyFill="1" applyBorder="1" applyAlignment="1">
      <alignment horizontal="center"/>
    </xf>
    <xf numFmtId="169" fontId="33" fillId="37" borderId="17" xfId="0" applyNumberFormat="1" applyFont="1" applyFill="1" applyBorder="1" applyAlignment="1">
      <alignment horizontal="center" vertical="center" shrinkToFit="1"/>
    </xf>
    <xf numFmtId="165" fontId="27" fillId="0" borderId="6" xfId="0" applyNumberFormat="1" applyFont="1" applyBorder="1"/>
    <xf numFmtId="0" fontId="3" fillId="0" borderId="17" xfId="1" applyFont="1" applyBorder="1" applyAlignment="1">
      <alignment horizontal="left"/>
    </xf>
    <xf numFmtId="0" fontId="2" fillId="0" borderId="17" xfId="1" applyFont="1" applyBorder="1"/>
    <xf numFmtId="170" fontId="33" fillId="0" borderId="17" xfId="0" applyNumberFormat="1" applyFont="1" applyBorder="1" applyAlignment="1">
      <alignment horizontal="center" vertical="center" shrinkToFit="1"/>
    </xf>
    <xf numFmtId="0" fontId="20" fillId="0" borderId="17" xfId="0" applyFont="1" applyBorder="1" applyAlignment="1">
      <alignment horizontal="left"/>
    </xf>
    <xf numFmtId="0" fontId="23" fillId="0" borderId="17" xfId="1" applyFont="1" applyBorder="1"/>
    <xf numFmtId="0" fontId="44" fillId="0" borderId="17" xfId="0" applyFont="1" applyBorder="1" applyAlignment="1">
      <alignment horizontal="left" vertical="top"/>
    </xf>
    <xf numFmtId="0" fontId="27" fillId="0" borderId="17" xfId="0" applyFont="1" applyBorder="1"/>
    <xf numFmtId="0" fontId="44" fillId="0" borderId="17" xfId="0" applyFont="1" applyBorder="1" applyAlignment="1">
      <alignment vertical="center"/>
    </xf>
    <xf numFmtId="0" fontId="2" fillId="0" borderId="0" xfId="1" applyFont="1" applyAlignment="1">
      <alignment vertical="center"/>
    </xf>
    <xf numFmtId="0" fontId="45" fillId="43" borderId="0" xfId="1" applyFont="1" applyFill="1" applyAlignment="1">
      <alignment vertical="center"/>
    </xf>
    <xf numFmtId="0" fontId="42" fillId="44" borderId="17" xfId="1" applyFont="1" applyFill="1" applyBorder="1"/>
    <xf numFmtId="0" fontId="42" fillId="44" borderId="17" xfId="1" applyFont="1" applyFill="1" applyBorder="1" applyAlignment="1">
      <alignment horizontal="center" vertical="center"/>
    </xf>
    <xf numFmtId="0" fontId="42" fillId="44" borderId="0" xfId="1" applyFont="1" applyFill="1"/>
    <xf numFmtId="0" fontId="46" fillId="44" borderId="0" xfId="1" applyFont="1" applyFill="1"/>
    <xf numFmtId="0" fontId="3" fillId="0" borderId="0" xfId="65" applyFont="1" applyAlignment="1">
      <alignment horizontal="left"/>
    </xf>
    <xf numFmtId="0" fontId="2" fillId="0" borderId="0" xfId="65" applyFont="1"/>
    <xf numFmtId="0" fontId="46" fillId="44" borderId="17" xfId="1" applyFont="1" applyFill="1" applyBorder="1"/>
    <xf numFmtId="0" fontId="42" fillId="44" borderId="17" xfId="1" applyFont="1" applyFill="1" applyBorder="1" applyAlignment="1">
      <alignment horizontal="center" wrapText="1"/>
    </xf>
    <xf numFmtId="0" fontId="27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169" fontId="33" fillId="0" borderId="17" xfId="0" applyNumberFormat="1" applyFont="1" applyBorder="1" applyAlignment="1">
      <alignment horizontal="center" vertical="center" shrinkToFit="1"/>
    </xf>
    <xf numFmtId="0" fontId="44" fillId="0" borderId="17" xfId="0" applyFont="1" applyBorder="1" applyAlignment="1">
      <alignment vertical="top"/>
    </xf>
    <xf numFmtId="0" fontId="20" fillId="0" borderId="21" xfId="0" applyFont="1" applyBorder="1" applyAlignment="1">
      <alignment horizontal="left"/>
    </xf>
    <xf numFmtId="0" fontId="47" fillId="0" borderId="21" xfId="0" applyFont="1" applyBorder="1"/>
    <xf numFmtId="0" fontId="4" fillId="0" borderId="0" xfId="0" applyFont="1"/>
    <xf numFmtId="0" fontId="4" fillId="0" borderId="20" xfId="0" applyFont="1" applyBorder="1"/>
    <xf numFmtId="0" fontId="20" fillId="0" borderId="20" xfId="0" applyFont="1" applyBorder="1" applyAlignment="1">
      <alignment horizontal="left"/>
    </xf>
    <xf numFmtId="0" fontId="20" fillId="0" borderId="20" xfId="0" applyFont="1" applyBorder="1" applyAlignment="1">
      <alignment horizontal="center" vertical="center"/>
    </xf>
    <xf numFmtId="0" fontId="0" fillId="0" borderId="20" xfId="0" applyBorder="1"/>
    <xf numFmtId="0" fontId="24" fillId="0" borderId="20" xfId="0" applyFont="1" applyBorder="1" applyAlignment="1">
      <alignment horizontal="center"/>
    </xf>
    <xf numFmtId="0" fontId="0" fillId="0" borderId="21" xfId="0" applyBorder="1"/>
    <xf numFmtId="14" fontId="48" fillId="0" borderId="21" xfId="0" applyNumberFormat="1" applyFont="1" applyBorder="1" applyAlignment="1">
      <alignment vertical="center"/>
    </xf>
    <xf numFmtId="0" fontId="48" fillId="0" borderId="21" xfId="0" applyFont="1" applyBorder="1" applyAlignment="1">
      <alignment vertical="center"/>
    </xf>
    <xf numFmtId="0" fontId="48" fillId="0" borderId="21" xfId="0" applyFont="1" applyBorder="1" applyAlignment="1">
      <alignment horizontal="right" vertical="center"/>
    </xf>
    <xf numFmtId="2" fontId="0" fillId="0" borderId="21" xfId="0" applyNumberFormat="1" applyBorder="1"/>
    <xf numFmtId="0" fontId="20" fillId="0" borderId="17" xfId="0" applyFont="1" applyBorder="1" applyAlignment="1">
      <alignment horizontal="center" wrapText="1"/>
    </xf>
    <xf numFmtId="0" fontId="42" fillId="44" borderId="21" xfId="1" applyFont="1" applyFill="1" applyBorder="1"/>
    <xf numFmtId="0" fontId="42" fillId="44" borderId="17" xfId="1" applyFont="1" applyFill="1" applyBorder="1" applyAlignment="1">
      <alignment horizontal="left" wrapText="1"/>
    </xf>
    <xf numFmtId="0" fontId="45" fillId="0" borderId="21" xfId="0" applyFont="1" applyBorder="1"/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right" vertical="center"/>
    </xf>
    <xf numFmtId="0" fontId="49" fillId="0" borderId="0" xfId="66"/>
    <xf numFmtId="0" fontId="43" fillId="0" borderId="21" xfId="0" applyFont="1" applyBorder="1" applyAlignment="1">
      <alignment horizontal="left"/>
    </xf>
    <xf numFmtId="0" fontId="43" fillId="0" borderId="21" xfId="0" applyFont="1" applyBorder="1" applyAlignment="1">
      <alignment horizontal="center"/>
    </xf>
    <xf numFmtId="0" fontId="43" fillId="0" borderId="21" xfId="0" applyFont="1" applyBorder="1" applyAlignment="1">
      <alignment horizontal="left" vertical="top"/>
    </xf>
    <xf numFmtId="39" fontId="43" fillId="0" borderId="21" xfId="0" applyNumberFormat="1" applyFont="1" applyBorder="1" applyAlignment="1">
      <alignment vertical="center"/>
    </xf>
    <xf numFmtId="0" fontId="43" fillId="45" borderId="21" xfId="0" applyFont="1" applyFill="1" applyBorder="1" applyAlignment="1">
      <alignment horizontal="left" vertical="top"/>
    </xf>
    <xf numFmtId="39" fontId="43" fillId="45" borderId="21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center" vertical="center"/>
    </xf>
    <xf numFmtId="0" fontId="0" fillId="0" borderId="19" xfId="0" applyBorder="1"/>
    <xf numFmtId="0" fontId="0" fillId="0" borderId="18" xfId="0" applyBorder="1"/>
    <xf numFmtId="0" fontId="0" fillId="0" borderId="21" xfId="0" applyBorder="1" applyAlignment="1">
      <alignment horizontal="center"/>
    </xf>
    <xf numFmtId="0" fontId="43" fillId="0" borderId="21" xfId="0" applyFont="1" applyBorder="1" applyAlignment="1">
      <alignment horizontal="center" vertical="top"/>
    </xf>
    <xf numFmtId="0" fontId="43" fillId="0" borderId="21" xfId="0" applyFont="1" applyBorder="1" applyAlignment="1">
      <alignment horizontal="left" vertical="top"/>
    </xf>
    <xf numFmtId="0" fontId="0" fillId="0" borderId="21" xfId="0" applyBorder="1"/>
  </cellXfs>
  <cellStyles count="67">
    <cellStyle name="20% - Accent1 2" xfId="19" xr:uid="{00000000-0005-0000-0000-000014000000}"/>
    <cellStyle name="20% - Accent2 2" xfId="23" xr:uid="{00000000-0005-0000-0000-000018000000}"/>
    <cellStyle name="20% - Accent3 2" xfId="27" xr:uid="{00000000-0005-0000-0000-00001C000000}"/>
    <cellStyle name="20% - Accent4 2" xfId="31" xr:uid="{00000000-0005-0000-0000-000020000000}"/>
    <cellStyle name="20% - Accent5 2" xfId="35" xr:uid="{00000000-0005-0000-0000-000024000000}"/>
    <cellStyle name="20% - Accent6 2" xfId="39" xr:uid="{00000000-0005-0000-0000-000028000000}"/>
    <cellStyle name="40% - Accent1 2" xfId="20" xr:uid="{00000000-0005-0000-0000-000015000000}"/>
    <cellStyle name="40% - Accent2 2" xfId="24" xr:uid="{00000000-0005-0000-0000-000019000000}"/>
    <cellStyle name="40% - Accent3 2" xfId="28" xr:uid="{00000000-0005-0000-0000-00001D000000}"/>
    <cellStyle name="40% - Accent4 2" xfId="32" xr:uid="{00000000-0005-0000-0000-000021000000}"/>
    <cellStyle name="40% - Accent5 2" xfId="36" xr:uid="{00000000-0005-0000-0000-000025000000}"/>
    <cellStyle name="40% - Accent6 2" xfId="40" xr:uid="{00000000-0005-0000-0000-000029000000}"/>
    <cellStyle name="60% - Accent1 2" xfId="21" xr:uid="{00000000-0005-0000-0000-000016000000}"/>
    <cellStyle name="60% - Accent2 2" xfId="25" xr:uid="{00000000-0005-0000-0000-00001A000000}"/>
    <cellStyle name="60% - Accent3 2" xfId="29" xr:uid="{00000000-0005-0000-0000-00001E000000}"/>
    <cellStyle name="60% - Accent4 2" xfId="33" xr:uid="{00000000-0005-0000-0000-000022000000}"/>
    <cellStyle name="60% - Accent5 2" xfId="37" xr:uid="{00000000-0005-0000-0000-000026000000}"/>
    <cellStyle name="60% - Accent6 2" xfId="41" xr:uid="{00000000-0005-0000-0000-00002A000000}"/>
    <cellStyle name="Accent1 2" xfId="18" xr:uid="{00000000-0005-0000-0000-000013000000}"/>
    <cellStyle name="Accent2 2" xfId="22" xr:uid="{00000000-0005-0000-0000-000017000000}"/>
    <cellStyle name="Accent3 2" xfId="26" xr:uid="{00000000-0005-0000-0000-00001B000000}"/>
    <cellStyle name="Accent4 2" xfId="30" xr:uid="{00000000-0005-0000-0000-00001F000000}"/>
    <cellStyle name="Accent5 2" xfId="34" xr:uid="{00000000-0005-0000-0000-000023000000}"/>
    <cellStyle name="Accent6 2" xfId="38" xr:uid="{00000000-0005-0000-0000-000027000000}"/>
    <cellStyle name="Bad 2" xfId="8" xr:uid="{00000000-0005-0000-0000-000009000000}"/>
    <cellStyle name="Calculation 2" xfId="12" xr:uid="{00000000-0005-0000-0000-00000D000000}"/>
    <cellStyle name="Check Cell 2" xfId="14" xr:uid="{00000000-0005-0000-0000-00000F000000}"/>
    <cellStyle name="Comma 2" xfId="57" xr:uid="{00000000-0005-0000-0000-00003A000000}"/>
    <cellStyle name="Comma 2 2" xfId="62" xr:uid="{00000000-0005-0000-0000-00003F000000}"/>
    <cellStyle name="Comma 3" xfId="61" xr:uid="{00000000-0005-0000-0000-00003E000000}"/>
    <cellStyle name="Explanatory Text 2" xfId="16" xr:uid="{00000000-0005-0000-0000-000011000000}"/>
    <cellStyle name="Good 2" xfId="7" xr:uid="{00000000-0005-0000-0000-000008000000}"/>
    <cellStyle name="Heading 1 2" xfId="3" xr:uid="{00000000-0005-0000-0000-000004000000}"/>
    <cellStyle name="Heading 2 2" xfId="4" xr:uid="{00000000-0005-0000-0000-000005000000}"/>
    <cellStyle name="Heading 3 2" xfId="5" xr:uid="{00000000-0005-0000-0000-000006000000}"/>
    <cellStyle name="Heading 4 2" xfId="6" xr:uid="{00000000-0005-0000-0000-000007000000}"/>
    <cellStyle name="Hyperlink" xfId="66" builtinId="8"/>
    <cellStyle name="Input 2" xfId="10" xr:uid="{00000000-0005-0000-0000-00000B000000}"/>
    <cellStyle name="Linked Cell 2" xfId="13" xr:uid="{00000000-0005-0000-0000-00000E000000}"/>
    <cellStyle name="Neutral 2" xfId="9" xr:uid="{00000000-0005-0000-0000-00000A000000}"/>
    <cellStyle name="Normal" xfId="0" builtinId="0"/>
    <cellStyle name="Normal 10" xfId="49" xr:uid="{00000000-0005-0000-0000-000032000000}"/>
    <cellStyle name="Normal 10 2" xfId="58" xr:uid="{00000000-0005-0000-0000-00003B000000}"/>
    <cellStyle name="Normal 11" xfId="50" xr:uid="{00000000-0005-0000-0000-000033000000}"/>
    <cellStyle name="Normal 12" xfId="59" xr:uid="{00000000-0005-0000-0000-00003C000000}"/>
    <cellStyle name="Normal 12 2" xfId="63" xr:uid="{00000000-0005-0000-0000-000040000000}"/>
    <cellStyle name="Normal 14" xfId="65" xr:uid="{00000000-0005-0000-0000-000042000000}"/>
    <cellStyle name="Normal 2" xfId="1" xr:uid="{00000000-0005-0000-0000-000001000000}"/>
    <cellStyle name="Normal 3" xfId="44" xr:uid="{00000000-0005-0000-0000-00002D000000}"/>
    <cellStyle name="Normal 3 2" xfId="52" xr:uid="{00000000-0005-0000-0000-000035000000}"/>
    <cellStyle name="Normal 3 3" xfId="60" xr:uid="{00000000-0005-0000-0000-00003D000000}"/>
    <cellStyle name="Normal 3 3 2" xfId="64" xr:uid="{00000000-0005-0000-0000-000041000000}"/>
    <cellStyle name="Normal 4" xfId="42" xr:uid="{00000000-0005-0000-0000-00002B000000}"/>
    <cellStyle name="Normal 4 2" xfId="51" xr:uid="{00000000-0005-0000-0000-000034000000}"/>
    <cellStyle name="Normal 5" xfId="45" xr:uid="{00000000-0005-0000-0000-00002E000000}"/>
    <cellStyle name="Normal 5 2" xfId="53" xr:uid="{00000000-0005-0000-0000-000036000000}"/>
    <cellStyle name="Normal 6" xfId="46" xr:uid="{00000000-0005-0000-0000-00002F000000}"/>
    <cellStyle name="Normal 6 2" xfId="54" xr:uid="{00000000-0005-0000-0000-000037000000}"/>
    <cellStyle name="Normal 7" xfId="47" xr:uid="{00000000-0005-0000-0000-000030000000}"/>
    <cellStyle name="Normal 7 2" xfId="55" xr:uid="{00000000-0005-0000-0000-000038000000}"/>
    <cellStyle name="Normal 8" xfId="48" xr:uid="{00000000-0005-0000-0000-000031000000}"/>
    <cellStyle name="Normal 8 2" xfId="56" xr:uid="{00000000-0005-0000-0000-000039000000}"/>
    <cellStyle name="Normal 9" xfId="43" xr:uid="{00000000-0005-0000-0000-00002C000000}"/>
    <cellStyle name="Output 2" xfId="11" xr:uid="{00000000-0005-0000-0000-00000C000000}"/>
    <cellStyle name="Title 2" xfId="2" xr:uid="{00000000-0005-0000-0000-000003000000}"/>
    <cellStyle name="Total 2" xfId="17" xr:uid="{00000000-0005-0000-0000-000012000000}"/>
    <cellStyle name="Warning Text 2" xfId="15" xr:uid="{00000000-0005-0000-0000-000010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sqref="A1:H1"/>
    </sheetView>
  </sheetViews>
  <sheetFormatPr defaultColWidth="8.85546875" defaultRowHeight="15.75" x14ac:dyDescent="0.25"/>
  <cols>
    <col min="1" max="1" width="24" style="4" customWidth="1"/>
    <col min="2" max="2" width="30.140625" style="4" customWidth="1"/>
    <col min="3" max="3" width="27.42578125" style="4" customWidth="1"/>
    <col min="4" max="4" width="21.85546875" style="4" customWidth="1"/>
    <col min="5" max="5" width="13.85546875" style="4" customWidth="1"/>
    <col min="6" max="6" width="9.85546875" style="4" bestFit="1" customWidth="1"/>
    <col min="7" max="7" width="23.28515625" style="4" bestFit="1" customWidth="1"/>
    <col min="8" max="8" width="44.28515625" style="4" bestFit="1" customWidth="1"/>
    <col min="9" max="9" width="8.85546875" style="4" customWidth="1"/>
    <col min="10" max="16384" width="8.85546875" style="4"/>
  </cols>
  <sheetData>
    <row r="1" spans="1:8" x14ac:dyDescent="0.25">
      <c r="A1" s="113" t="s">
        <v>0</v>
      </c>
      <c r="B1" s="114"/>
      <c r="C1" s="114"/>
      <c r="D1" s="114"/>
      <c r="E1" s="114"/>
      <c r="F1" s="114"/>
      <c r="G1" s="114"/>
      <c r="H1" s="115"/>
    </row>
    <row r="2" spans="1:8" x14ac:dyDescent="0.25">
      <c r="A2" s="5" t="s">
        <v>1</v>
      </c>
      <c r="B2" s="4" t="s">
        <v>2</v>
      </c>
      <c r="F2" s="6"/>
    </row>
    <row r="3" spans="1:8" x14ac:dyDescent="0.25">
      <c r="A3" s="5" t="s">
        <v>3</v>
      </c>
      <c r="B3" s="4" t="s">
        <v>4</v>
      </c>
      <c r="F3" s="6"/>
    </row>
    <row r="4" spans="1:8" x14ac:dyDescent="0.25">
      <c r="A4" s="5" t="s">
        <v>5</v>
      </c>
      <c r="B4" s="4" t="s">
        <v>6</v>
      </c>
      <c r="F4" s="6"/>
    </row>
    <row r="5" spans="1:8" x14ac:dyDescent="0.25">
      <c r="A5" s="5" t="s">
        <v>7</v>
      </c>
      <c r="B5" s="4" t="s">
        <v>8</v>
      </c>
      <c r="F5" s="6"/>
    </row>
    <row r="6" spans="1:8" x14ac:dyDescent="0.25">
      <c r="A6" s="50" t="s">
        <v>9</v>
      </c>
      <c r="B6" s="50" t="s">
        <v>10</v>
      </c>
      <c r="C6" s="50" t="s">
        <v>11</v>
      </c>
      <c r="D6" s="50" t="s">
        <v>12</v>
      </c>
      <c r="E6" s="50" t="s">
        <v>13</v>
      </c>
      <c r="F6" s="51" t="s">
        <v>14</v>
      </c>
      <c r="G6" s="51" t="s">
        <v>15</v>
      </c>
      <c r="H6" s="52" t="s">
        <v>16</v>
      </c>
    </row>
    <row r="7" spans="1:8" x14ac:dyDescent="0.25">
      <c r="A7" s="53" t="s">
        <v>17</v>
      </c>
      <c r="B7" s="53" t="s">
        <v>18</v>
      </c>
      <c r="C7" s="53" t="s">
        <v>19</v>
      </c>
      <c r="D7" s="53" t="s">
        <v>20</v>
      </c>
      <c r="E7" s="54">
        <v>15.68</v>
      </c>
      <c r="F7" s="83">
        <f>'Scans Inbound '!L1-F12</f>
        <v>0</v>
      </c>
      <c r="G7" s="55">
        <f t="shared" ref="G7:G44" si="0">F7*E7</f>
        <v>0</v>
      </c>
      <c r="H7" s="56" t="s">
        <v>21</v>
      </c>
    </row>
    <row r="8" spans="1:8" x14ac:dyDescent="0.25">
      <c r="A8" s="53" t="s">
        <v>17</v>
      </c>
      <c r="B8" s="53" t="s">
        <v>22</v>
      </c>
      <c r="C8" s="53" t="s">
        <v>23</v>
      </c>
      <c r="D8" s="53" t="s">
        <v>24</v>
      </c>
      <c r="E8" s="54">
        <v>2.92</v>
      </c>
      <c r="F8" s="83">
        <f>'Scans Inbound '!Q2</f>
        <v>0</v>
      </c>
      <c r="G8" s="55">
        <f t="shared" si="0"/>
        <v>0</v>
      </c>
      <c r="H8" s="56" t="s">
        <v>21</v>
      </c>
    </row>
    <row r="9" spans="1:8" x14ac:dyDescent="0.25">
      <c r="A9" s="53" t="s">
        <v>17</v>
      </c>
      <c r="B9" s="53" t="s">
        <v>22</v>
      </c>
      <c r="C9" s="53" t="s">
        <v>25</v>
      </c>
      <c r="D9" s="53" t="s">
        <v>26</v>
      </c>
      <c r="E9" s="54">
        <v>2.92</v>
      </c>
      <c r="F9" s="83">
        <f>'Scans Inbound '!S2</f>
        <v>0</v>
      </c>
      <c r="G9" s="55">
        <f t="shared" si="0"/>
        <v>0</v>
      </c>
      <c r="H9" s="56" t="s">
        <v>21</v>
      </c>
    </row>
    <row r="10" spans="1:8" x14ac:dyDescent="0.25">
      <c r="A10" s="53" t="s">
        <v>17</v>
      </c>
      <c r="B10" s="53" t="s">
        <v>22</v>
      </c>
      <c r="C10" s="53" t="s">
        <v>27</v>
      </c>
      <c r="D10" s="53" t="s">
        <v>28</v>
      </c>
      <c r="E10" s="54">
        <v>2.92</v>
      </c>
      <c r="F10" s="84">
        <f>'Scans Inbound '!P2</f>
        <v>0</v>
      </c>
      <c r="G10" s="55">
        <f t="shared" si="0"/>
        <v>0</v>
      </c>
      <c r="H10" s="56" t="s">
        <v>21</v>
      </c>
    </row>
    <row r="11" spans="1:8" x14ac:dyDescent="0.25">
      <c r="A11" s="53" t="s">
        <v>17</v>
      </c>
      <c r="B11" s="53" t="s">
        <v>22</v>
      </c>
      <c r="C11" s="53" t="s">
        <v>29</v>
      </c>
      <c r="D11" s="53" t="s">
        <v>30</v>
      </c>
      <c r="E11" s="54">
        <v>4.7</v>
      </c>
      <c r="F11" s="84">
        <f>'Scans Inbound '!R2</f>
        <v>0</v>
      </c>
      <c r="G11" s="55">
        <f t="shared" si="0"/>
        <v>0</v>
      </c>
      <c r="H11" s="56" t="s">
        <v>21</v>
      </c>
    </row>
    <row r="12" spans="1:8" x14ac:dyDescent="0.25">
      <c r="A12" s="53" t="s">
        <v>31</v>
      </c>
      <c r="B12" s="53" t="s">
        <v>18</v>
      </c>
      <c r="C12" s="53" t="s">
        <v>19</v>
      </c>
      <c r="D12" s="53" t="s">
        <v>20</v>
      </c>
      <c r="E12" s="54">
        <v>27.51</v>
      </c>
      <c r="F12" s="83">
        <f>'Scans Inbound '!N1</f>
        <v>0</v>
      </c>
      <c r="G12" s="55">
        <f t="shared" si="0"/>
        <v>0</v>
      </c>
      <c r="H12" s="57" t="s">
        <v>32</v>
      </c>
    </row>
    <row r="13" spans="1:8" x14ac:dyDescent="0.25">
      <c r="A13" s="53" t="s">
        <v>31</v>
      </c>
      <c r="B13" s="53" t="s">
        <v>22</v>
      </c>
      <c r="C13" s="53" t="s">
        <v>23</v>
      </c>
      <c r="D13" s="53" t="s">
        <v>24</v>
      </c>
      <c r="E13" s="54">
        <v>2.92</v>
      </c>
      <c r="F13" s="84">
        <f>'Scans Inbound '!I26</f>
        <v>0</v>
      </c>
      <c r="G13" s="55">
        <f t="shared" si="0"/>
        <v>0</v>
      </c>
      <c r="H13" s="56" t="s">
        <v>21</v>
      </c>
    </row>
    <row r="14" spans="1:8" x14ac:dyDescent="0.25">
      <c r="A14" s="53" t="s">
        <v>31</v>
      </c>
      <c r="B14" s="53" t="s">
        <v>22</v>
      </c>
      <c r="C14" s="53" t="s">
        <v>25</v>
      </c>
      <c r="D14" s="53" t="s">
        <v>26</v>
      </c>
      <c r="E14" s="54">
        <v>2.92</v>
      </c>
      <c r="F14" s="83">
        <v>0</v>
      </c>
      <c r="G14" s="55">
        <f t="shared" si="0"/>
        <v>0</v>
      </c>
      <c r="H14" s="56" t="s">
        <v>21</v>
      </c>
    </row>
    <row r="15" spans="1:8" x14ac:dyDescent="0.25">
      <c r="A15" s="53" t="s">
        <v>31</v>
      </c>
      <c r="B15" s="53" t="s">
        <v>22</v>
      </c>
      <c r="C15" s="53" t="s">
        <v>27</v>
      </c>
      <c r="D15" s="53" t="s">
        <v>28</v>
      </c>
      <c r="E15" s="54">
        <v>2.92</v>
      </c>
      <c r="F15" s="84">
        <f>'Scans Inbound '!I28</f>
        <v>0</v>
      </c>
      <c r="G15" s="55">
        <f t="shared" si="0"/>
        <v>0</v>
      </c>
      <c r="H15" s="56" t="s">
        <v>21</v>
      </c>
    </row>
    <row r="16" spans="1:8" x14ac:dyDescent="0.25">
      <c r="A16" s="53" t="s">
        <v>31</v>
      </c>
      <c r="B16" s="53" t="s">
        <v>22</v>
      </c>
      <c r="C16" s="53" t="s">
        <v>29</v>
      </c>
      <c r="D16" s="53" t="s">
        <v>30</v>
      </c>
      <c r="E16" s="54">
        <v>4.7</v>
      </c>
      <c r="F16" s="84">
        <f>'Scans Inbound '!I29</f>
        <v>0</v>
      </c>
      <c r="G16" s="55">
        <f t="shared" si="0"/>
        <v>0</v>
      </c>
      <c r="H16" s="57" t="s">
        <v>33</v>
      </c>
    </row>
    <row r="17" spans="1:8" x14ac:dyDescent="0.25">
      <c r="A17" s="53" t="s">
        <v>34</v>
      </c>
      <c r="B17" s="53" t="s">
        <v>18</v>
      </c>
      <c r="C17" s="53" t="s">
        <v>35</v>
      </c>
      <c r="D17" s="53" t="s">
        <v>20</v>
      </c>
      <c r="E17" s="54">
        <v>15.68</v>
      </c>
      <c r="F17" s="83">
        <f>'Scans Outbound '!M2-F18-F19</f>
        <v>0</v>
      </c>
      <c r="G17" s="55">
        <f t="shared" si="0"/>
        <v>0</v>
      </c>
      <c r="H17" s="56" t="s">
        <v>36</v>
      </c>
    </row>
    <row r="18" spans="1:8" x14ac:dyDescent="0.25">
      <c r="A18" s="53" t="s">
        <v>34</v>
      </c>
      <c r="B18" s="53" t="s">
        <v>18</v>
      </c>
      <c r="C18" s="53" t="s">
        <v>37</v>
      </c>
      <c r="D18" s="53" t="s">
        <v>20</v>
      </c>
      <c r="E18" s="54">
        <v>15.68</v>
      </c>
      <c r="F18" s="83">
        <v>0</v>
      </c>
      <c r="G18" s="55">
        <f t="shared" si="0"/>
        <v>0</v>
      </c>
      <c r="H18" s="56" t="s">
        <v>36</v>
      </c>
    </row>
    <row r="19" spans="1:8" x14ac:dyDescent="0.25">
      <c r="A19" s="53" t="s">
        <v>34</v>
      </c>
      <c r="B19" s="53" t="s">
        <v>18</v>
      </c>
      <c r="C19" s="58" t="s">
        <v>38</v>
      </c>
      <c r="D19" s="53" t="s">
        <v>20</v>
      </c>
      <c r="E19" s="54">
        <v>33.020000000000003</v>
      </c>
      <c r="F19" s="83">
        <v>0</v>
      </c>
      <c r="G19" s="55">
        <f t="shared" si="0"/>
        <v>0</v>
      </c>
      <c r="H19" s="56" t="s">
        <v>36</v>
      </c>
    </row>
    <row r="20" spans="1:8" x14ac:dyDescent="0.25">
      <c r="A20" s="53" t="s">
        <v>34</v>
      </c>
      <c r="B20" s="53" t="s">
        <v>22</v>
      </c>
      <c r="C20" s="53" t="s">
        <v>23</v>
      </c>
      <c r="D20" s="53" t="s">
        <v>24</v>
      </c>
      <c r="E20" s="54">
        <v>2.92</v>
      </c>
      <c r="F20" s="83">
        <f>'Scans Outbound '!R6</f>
        <v>0</v>
      </c>
      <c r="G20" s="55">
        <f t="shared" si="0"/>
        <v>0</v>
      </c>
      <c r="H20" s="56" t="s">
        <v>36</v>
      </c>
    </row>
    <row r="21" spans="1:8" x14ac:dyDescent="0.25">
      <c r="A21" s="53" t="s">
        <v>34</v>
      </c>
      <c r="B21" s="53" t="s">
        <v>22</v>
      </c>
      <c r="C21" s="53" t="s">
        <v>25</v>
      </c>
      <c r="D21" s="53" t="s">
        <v>26</v>
      </c>
      <c r="E21" s="54">
        <v>2.92</v>
      </c>
      <c r="F21" s="83">
        <f>'Scans Outbound '!T6</f>
        <v>0</v>
      </c>
      <c r="G21" s="55">
        <f t="shared" si="0"/>
        <v>0</v>
      </c>
      <c r="H21" s="56" t="s">
        <v>36</v>
      </c>
    </row>
    <row r="22" spans="1:8" x14ac:dyDescent="0.25">
      <c r="A22" s="53" t="s">
        <v>34</v>
      </c>
      <c r="B22" s="53" t="s">
        <v>22</v>
      </c>
      <c r="C22" s="53" t="s">
        <v>27</v>
      </c>
      <c r="D22" s="53" t="s">
        <v>28</v>
      </c>
      <c r="E22" s="54">
        <v>2.92</v>
      </c>
      <c r="F22" s="83">
        <f>'Scans Outbound '!Q6</f>
        <v>0</v>
      </c>
      <c r="G22" s="55">
        <f t="shared" si="0"/>
        <v>0</v>
      </c>
      <c r="H22" s="56" t="s">
        <v>36</v>
      </c>
    </row>
    <row r="23" spans="1:8" x14ac:dyDescent="0.25">
      <c r="A23" s="53" t="s">
        <v>34</v>
      </c>
      <c r="B23" s="53" t="s">
        <v>22</v>
      </c>
      <c r="C23" s="53" t="s">
        <v>29</v>
      </c>
      <c r="D23" s="53" t="s">
        <v>30</v>
      </c>
      <c r="E23" s="54">
        <v>4.7</v>
      </c>
      <c r="F23" s="84">
        <f>'Scans Outbound '!S6</f>
        <v>0</v>
      </c>
      <c r="G23" s="55">
        <f t="shared" si="0"/>
        <v>0</v>
      </c>
      <c r="H23" s="56" t="s">
        <v>36</v>
      </c>
    </row>
    <row r="24" spans="1:8" x14ac:dyDescent="0.25">
      <c r="A24" s="53" t="s">
        <v>34</v>
      </c>
      <c r="B24" s="53" t="s">
        <v>22</v>
      </c>
      <c r="C24" s="53" t="s">
        <v>39</v>
      </c>
      <c r="D24" s="53" t="s">
        <v>40</v>
      </c>
      <c r="E24" s="54">
        <v>20.9</v>
      </c>
      <c r="F24" s="84">
        <v>0</v>
      </c>
      <c r="G24" s="55">
        <f t="shared" si="0"/>
        <v>0</v>
      </c>
      <c r="H24" s="56" t="s">
        <v>36</v>
      </c>
    </row>
    <row r="25" spans="1:8" x14ac:dyDescent="0.25">
      <c r="A25" s="53" t="s">
        <v>41</v>
      </c>
      <c r="B25" s="53" t="s">
        <v>42</v>
      </c>
      <c r="C25" s="53" t="s">
        <v>30</v>
      </c>
      <c r="D25" s="53" t="s">
        <v>43</v>
      </c>
      <c r="E25" s="54">
        <v>6.33</v>
      </c>
      <c r="F25" s="83">
        <f>'Storage '!I5</f>
        <v>0</v>
      </c>
      <c r="G25" s="55">
        <f t="shared" si="0"/>
        <v>0</v>
      </c>
      <c r="H25" s="57" t="s">
        <v>44</v>
      </c>
    </row>
    <row r="26" spans="1:8" x14ac:dyDescent="0.25">
      <c r="A26" s="53" t="s">
        <v>41</v>
      </c>
      <c r="B26" s="53" t="s">
        <v>42</v>
      </c>
      <c r="C26" s="53" t="s">
        <v>45</v>
      </c>
      <c r="D26" s="53" t="s">
        <v>43</v>
      </c>
      <c r="E26" s="54">
        <v>1.87</v>
      </c>
      <c r="F26" s="83">
        <f>'Storage '!J5</f>
        <v>0</v>
      </c>
      <c r="G26" s="55">
        <f t="shared" si="0"/>
        <v>0</v>
      </c>
      <c r="H26" s="57" t="s">
        <v>44</v>
      </c>
    </row>
    <row r="27" spans="1:8" x14ac:dyDescent="0.25">
      <c r="A27" s="53" t="s">
        <v>46</v>
      </c>
      <c r="B27" s="53" t="s">
        <v>47</v>
      </c>
      <c r="C27" s="53" t="s">
        <v>48</v>
      </c>
      <c r="D27" s="53" t="s">
        <v>49</v>
      </c>
      <c r="E27" s="54">
        <v>20.9</v>
      </c>
      <c r="F27" s="83">
        <f>VAS!F14</f>
        <v>0</v>
      </c>
      <c r="G27" s="55">
        <f t="shared" si="0"/>
        <v>0</v>
      </c>
      <c r="H27" s="57" t="s">
        <v>50</v>
      </c>
    </row>
    <row r="28" spans="1:8" x14ac:dyDescent="0.25">
      <c r="A28" s="53" t="s">
        <v>46</v>
      </c>
      <c r="B28" s="53" t="s">
        <v>51</v>
      </c>
      <c r="C28" s="53" t="s">
        <v>52</v>
      </c>
      <c r="D28" s="53" t="s">
        <v>53</v>
      </c>
      <c r="E28" s="54">
        <v>59</v>
      </c>
      <c r="F28" s="83">
        <v>0</v>
      </c>
      <c r="G28" s="59">
        <f t="shared" si="0"/>
        <v>0</v>
      </c>
      <c r="H28" s="60" t="s">
        <v>50</v>
      </c>
    </row>
    <row r="29" spans="1:8" x14ac:dyDescent="0.25">
      <c r="A29" s="53" t="s">
        <v>46</v>
      </c>
      <c r="B29" s="53" t="s">
        <v>51</v>
      </c>
      <c r="C29" s="53" t="s">
        <v>54</v>
      </c>
      <c r="D29" s="53" t="s">
        <v>53</v>
      </c>
      <c r="E29" s="54">
        <v>75</v>
      </c>
      <c r="F29" s="83">
        <v>0</v>
      </c>
      <c r="G29" s="55">
        <f t="shared" si="0"/>
        <v>0</v>
      </c>
      <c r="H29" s="60" t="s">
        <v>50</v>
      </c>
    </row>
    <row r="30" spans="1:8" x14ac:dyDescent="0.25">
      <c r="A30" s="53" t="s">
        <v>46</v>
      </c>
      <c r="B30" s="53" t="s">
        <v>51</v>
      </c>
      <c r="C30" s="53" t="s">
        <v>55</v>
      </c>
      <c r="D30" s="53" t="s">
        <v>56</v>
      </c>
      <c r="E30" s="54">
        <v>61.66</v>
      </c>
      <c r="F30" s="83">
        <v>0</v>
      </c>
      <c r="G30" s="55">
        <f t="shared" si="0"/>
        <v>0</v>
      </c>
      <c r="H30" s="61"/>
    </row>
    <row r="31" spans="1:8" x14ac:dyDescent="0.25">
      <c r="A31" s="53" t="s">
        <v>46</v>
      </c>
      <c r="B31" s="53" t="s">
        <v>57</v>
      </c>
      <c r="C31" s="53" t="s">
        <v>58</v>
      </c>
      <c r="D31" s="53" t="s">
        <v>59</v>
      </c>
      <c r="E31" s="67">
        <v>0.15</v>
      </c>
      <c r="F31" s="83">
        <v>0</v>
      </c>
      <c r="G31" s="55">
        <f t="shared" si="0"/>
        <v>0</v>
      </c>
      <c r="H31" s="61"/>
    </row>
    <row r="32" spans="1:8" x14ac:dyDescent="0.25">
      <c r="A32" s="53" t="s">
        <v>46</v>
      </c>
      <c r="B32" s="53" t="s">
        <v>57</v>
      </c>
      <c r="C32" s="53" t="s">
        <v>60</v>
      </c>
      <c r="D32" s="53" t="s">
        <v>30</v>
      </c>
      <c r="E32" s="54">
        <v>6.27</v>
      </c>
      <c r="F32" s="83">
        <v>0</v>
      </c>
      <c r="G32" s="55">
        <f t="shared" si="0"/>
        <v>0</v>
      </c>
      <c r="H32" s="61"/>
    </row>
    <row r="33" spans="1:8" ht="30.75" customHeight="1" x14ac:dyDescent="0.25">
      <c r="A33" s="53" t="s">
        <v>46</v>
      </c>
      <c r="B33" s="53" t="s">
        <v>57</v>
      </c>
      <c r="C33" s="53" t="s">
        <v>61</v>
      </c>
      <c r="D33" s="53" t="s">
        <v>62</v>
      </c>
      <c r="E33" s="54">
        <v>2.09</v>
      </c>
      <c r="F33" s="84">
        <f>SUM('Scans Outbound '!G2:G19)</f>
        <v>0</v>
      </c>
      <c r="G33" s="55">
        <f t="shared" si="0"/>
        <v>0</v>
      </c>
      <c r="H33" s="57" t="s">
        <v>33</v>
      </c>
    </row>
    <row r="34" spans="1:8" x14ac:dyDescent="0.2">
      <c r="A34" s="53" t="s">
        <v>63</v>
      </c>
      <c r="B34" s="53" t="s">
        <v>57</v>
      </c>
      <c r="C34" s="53" t="s">
        <v>64</v>
      </c>
      <c r="D34" s="53" t="s">
        <v>65</v>
      </c>
      <c r="E34" s="54">
        <v>135.85</v>
      </c>
      <c r="F34" s="83">
        <v>0</v>
      </c>
      <c r="G34" s="55">
        <f t="shared" si="0"/>
        <v>0</v>
      </c>
      <c r="H34" s="62"/>
    </row>
    <row r="35" spans="1:8" ht="31.5" customHeight="1" x14ac:dyDescent="0.2">
      <c r="A35" s="53" t="s">
        <v>63</v>
      </c>
      <c r="B35" s="53" t="s">
        <v>57</v>
      </c>
      <c r="C35" s="53" t="s">
        <v>66</v>
      </c>
      <c r="D35" s="53" t="s">
        <v>67</v>
      </c>
      <c r="E35" s="54">
        <v>355.3</v>
      </c>
      <c r="F35" s="83">
        <v>0</v>
      </c>
      <c r="G35" s="55">
        <f t="shared" si="0"/>
        <v>0</v>
      </c>
      <c r="H35" s="62"/>
    </row>
    <row r="36" spans="1:8" ht="31.5" customHeight="1" x14ac:dyDescent="0.25">
      <c r="A36" s="53" t="s">
        <v>63</v>
      </c>
      <c r="B36" s="53" t="s">
        <v>57</v>
      </c>
      <c r="C36" s="53" t="s">
        <v>68</v>
      </c>
      <c r="D36" s="53" t="s">
        <v>67</v>
      </c>
      <c r="E36" s="54">
        <v>637.45000000000005</v>
      </c>
      <c r="F36" s="83">
        <v>0</v>
      </c>
      <c r="G36" s="55">
        <f t="shared" si="0"/>
        <v>0</v>
      </c>
      <c r="H36" s="61"/>
    </row>
    <row r="37" spans="1:8" ht="31.5" customHeight="1" x14ac:dyDescent="0.25">
      <c r="A37" s="53" t="s">
        <v>63</v>
      </c>
      <c r="B37" s="53" t="s">
        <v>57</v>
      </c>
      <c r="C37" s="53" t="s">
        <v>66</v>
      </c>
      <c r="D37" s="53" t="s">
        <v>69</v>
      </c>
      <c r="E37" s="54">
        <v>637.45000000000005</v>
      </c>
      <c r="F37" s="83">
        <v>0</v>
      </c>
      <c r="G37" s="55">
        <f t="shared" si="0"/>
        <v>0</v>
      </c>
      <c r="H37" s="61"/>
    </row>
    <row r="38" spans="1:8" ht="31.5" customHeight="1" x14ac:dyDescent="0.25">
      <c r="A38" s="53" t="s">
        <v>63</v>
      </c>
      <c r="B38" s="53" t="s">
        <v>57</v>
      </c>
      <c r="C38" s="53" t="s">
        <v>68</v>
      </c>
      <c r="D38" s="53" t="s">
        <v>69</v>
      </c>
      <c r="E38" s="54">
        <v>919.6</v>
      </c>
      <c r="F38" s="83">
        <v>0</v>
      </c>
      <c r="G38" s="55">
        <f t="shared" si="0"/>
        <v>0</v>
      </c>
      <c r="H38" s="61"/>
    </row>
    <row r="39" spans="1:8" ht="31.5" customHeight="1" x14ac:dyDescent="0.25">
      <c r="A39" s="53" t="s">
        <v>70</v>
      </c>
      <c r="B39" s="53" t="s">
        <v>71</v>
      </c>
      <c r="C39" s="53" t="s">
        <v>72</v>
      </c>
      <c r="D39" s="53" t="s">
        <v>20</v>
      </c>
      <c r="E39" s="54">
        <v>20.9</v>
      </c>
      <c r="F39" s="83">
        <f>VAS!C14</f>
        <v>0</v>
      </c>
      <c r="G39" s="55">
        <f t="shared" si="0"/>
        <v>0</v>
      </c>
      <c r="H39" s="56" t="s">
        <v>50</v>
      </c>
    </row>
    <row r="40" spans="1:8" x14ac:dyDescent="0.25">
      <c r="A40" s="53" t="s">
        <v>70</v>
      </c>
      <c r="B40" s="53" t="s">
        <v>71</v>
      </c>
      <c r="C40" s="53" t="s">
        <v>73</v>
      </c>
      <c r="D40" s="53" t="s">
        <v>20</v>
      </c>
      <c r="E40" s="54">
        <v>15.68</v>
      </c>
      <c r="F40" s="83">
        <f>VAS!C20</f>
        <v>0</v>
      </c>
      <c r="G40" s="55">
        <f t="shared" si="0"/>
        <v>0</v>
      </c>
      <c r="H40" s="61"/>
    </row>
    <row r="41" spans="1:8" x14ac:dyDescent="0.25">
      <c r="A41" s="53" t="s">
        <v>70</v>
      </c>
      <c r="B41" s="53" t="s">
        <v>71</v>
      </c>
      <c r="C41" s="53" t="s">
        <v>74</v>
      </c>
      <c r="D41" s="53" t="s">
        <v>75</v>
      </c>
      <c r="E41" s="54">
        <v>8.1999999999999993</v>
      </c>
      <c r="F41" s="83">
        <v>0</v>
      </c>
      <c r="G41" s="55">
        <f t="shared" si="0"/>
        <v>0</v>
      </c>
      <c r="H41" s="61"/>
    </row>
    <row r="42" spans="1:8" x14ac:dyDescent="0.25">
      <c r="A42" s="53" t="s">
        <v>70</v>
      </c>
      <c r="B42" s="53" t="s">
        <v>71</v>
      </c>
      <c r="C42" s="53" t="s">
        <v>76</v>
      </c>
      <c r="D42" s="53" t="s">
        <v>77</v>
      </c>
      <c r="E42" s="54">
        <v>14.63</v>
      </c>
      <c r="F42" s="83">
        <v>0</v>
      </c>
      <c r="G42" s="55">
        <f t="shared" si="0"/>
        <v>0</v>
      </c>
      <c r="H42" s="61"/>
    </row>
    <row r="43" spans="1:8" x14ac:dyDescent="0.25">
      <c r="A43" s="53" t="s">
        <v>70</v>
      </c>
      <c r="B43" s="53" t="s">
        <v>78</v>
      </c>
      <c r="C43" s="53" t="s">
        <v>79</v>
      </c>
      <c r="D43" s="53" t="s">
        <v>53</v>
      </c>
      <c r="E43" s="85">
        <v>182.88</v>
      </c>
      <c r="F43" s="83">
        <v>0</v>
      </c>
      <c r="G43" s="63">
        <f t="shared" si="0"/>
        <v>0</v>
      </c>
      <c r="H43" s="61"/>
    </row>
    <row r="44" spans="1:8" x14ac:dyDescent="0.25">
      <c r="A44" s="53" t="s">
        <v>70</v>
      </c>
      <c r="B44" s="53" t="s">
        <v>80</v>
      </c>
      <c r="C44" s="53" t="s">
        <v>81</v>
      </c>
      <c r="D44" s="53" t="s">
        <v>82</v>
      </c>
      <c r="E44" s="85">
        <v>522.5</v>
      </c>
      <c r="F44" s="83">
        <v>1</v>
      </c>
      <c r="G44" s="63">
        <f t="shared" si="0"/>
        <v>522.5</v>
      </c>
      <c r="H44" s="61"/>
    </row>
    <row r="45" spans="1:8" x14ac:dyDescent="0.25">
      <c r="A45" s="53" t="s">
        <v>70</v>
      </c>
      <c r="B45" s="53" t="s">
        <v>83</v>
      </c>
      <c r="C45" s="53" t="s">
        <v>84</v>
      </c>
      <c r="D45" s="53" t="s">
        <v>82</v>
      </c>
      <c r="E45" s="85" t="s">
        <v>85</v>
      </c>
      <c r="F45" s="83">
        <v>0</v>
      </c>
      <c r="G45" s="63">
        <v>0</v>
      </c>
      <c r="H45" s="61"/>
    </row>
    <row r="46" spans="1:8" x14ac:dyDescent="0.25">
      <c r="F46" s="7" t="s">
        <v>86</v>
      </c>
      <c r="G46" s="8">
        <f>SUM(G7:G42)</f>
        <v>0</v>
      </c>
    </row>
    <row r="47" spans="1:8" x14ac:dyDescent="0.25">
      <c r="F47" s="9" t="s">
        <v>87</v>
      </c>
      <c r="G47" s="10">
        <f>SUM(G43:G45)</f>
        <v>522.5</v>
      </c>
    </row>
    <row r="49" spans="1:7" ht="16.5" customHeight="1" thickBot="1" x14ac:dyDescent="0.3"/>
    <row r="50" spans="1:7" x14ac:dyDescent="0.25">
      <c r="A50" s="11"/>
      <c r="B50" s="12" t="s">
        <v>15</v>
      </c>
    </row>
    <row r="51" spans="1:7" x14ac:dyDescent="0.25">
      <c r="A51" s="13" t="s">
        <v>88</v>
      </c>
      <c r="B51" s="14">
        <f>G46</f>
        <v>0</v>
      </c>
    </row>
    <row r="52" spans="1:7" x14ac:dyDescent="0.25">
      <c r="A52" s="15" t="s">
        <v>89</v>
      </c>
      <c r="B52" s="64">
        <f>'Distribution outbound '!L3</f>
        <v>0</v>
      </c>
      <c r="C52" s="4" t="s">
        <v>90</v>
      </c>
    </row>
    <row r="53" spans="1:7" ht="16.5" customHeight="1" thickBot="1" x14ac:dyDescent="0.3">
      <c r="A53" s="16" t="s">
        <v>91</v>
      </c>
      <c r="B53" s="17">
        <f>(B51+B52)*15%</f>
        <v>0</v>
      </c>
    </row>
    <row r="54" spans="1:7" x14ac:dyDescent="0.25">
      <c r="A54" s="18" t="s">
        <v>92</v>
      </c>
      <c r="B54" s="19">
        <f>SUM(B51:B53)</f>
        <v>0</v>
      </c>
    </row>
    <row r="55" spans="1:7" ht="16.5" customHeight="1" thickBot="1" x14ac:dyDescent="0.3">
      <c r="A55" s="20" t="s">
        <v>93</v>
      </c>
      <c r="B55" s="21">
        <f>G47</f>
        <v>522.5</v>
      </c>
    </row>
    <row r="56" spans="1:7" x14ac:dyDescent="0.25">
      <c r="A56" s="22"/>
      <c r="B56" s="22"/>
    </row>
    <row r="57" spans="1:7" x14ac:dyDescent="0.25">
      <c r="A57" s="22"/>
      <c r="B57" s="22"/>
      <c r="G57" s="106"/>
    </row>
    <row r="58" spans="1:7" x14ac:dyDescent="0.25">
      <c r="A58" s="23" t="s">
        <v>94</v>
      </c>
      <c r="B58" s="24">
        <f>B51*1.15</f>
        <v>0</v>
      </c>
    </row>
    <row r="59" spans="1:7" ht="16.5" customHeight="1" thickBot="1" x14ac:dyDescent="0.3">
      <c r="A59" s="25" t="s">
        <v>95</v>
      </c>
      <c r="B59" s="26">
        <f>B52*1.15</f>
        <v>0</v>
      </c>
    </row>
    <row r="60" spans="1:7" x14ac:dyDescent="0.25">
      <c r="A60" s="18" t="s">
        <v>92</v>
      </c>
      <c r="B60" s="19">
        <f>SUM(B58:B59)</f>
        <v>0</v>
      </c>
      <c r="C60" s="22"/>
    </row>
    <row r="61" spans="1:7" ht="16.5" customHeight="1" thickBot="1" x14ac:dyDescent="0.3">
      <c r="A61" s="20" t="s">
        <v>93</v>
      </c>
      <c r="B61" s="21">
        <v>522.5</v>
      </c>
    </row>
  </sheetData>
  <mergeCells count="1">
    <mergeCell ref="A1:H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activeCell="I10" sqref="I10"/>
    </sheetView>
  </sheetViews>
  <sheetFormatPr defaultColWidth="9" defaultRowHeight="15" x14ac:dyDescent="0.25"/>
  <cols>
    <col min="1" max="1" width="17.85546875" bestFit="1" customWidth="1"/>
    <col min="2" max="2" width="6.85546875" bestFit="1" customWidth="1"/>
    <col min="3" max="3" width="20.28515625" bestFit="1" customWidth="1"/>
    <col min="4" max="4" width="19.28515625" bestFit="1" customWidth="1"/>
    <col min="5" max="5" width="18.85546875" bestFit="1" customWidth="1"/>
    <col min="6" max="6" width="22.140625" bestFit="1" customWidth="1"/>
    <col min="7" max="7" width="6.5703125" customWidth="1"/>
    <col min="8" max="8" width="6.85546875" customWidth="1"/>
    <col min="9" max="9" width="17.42578125" bestFit="1" customWidth="1"/>
    <col min="10" max="10" width="16.7109375" bestFit="1" customWidth="1"/>
  </cols>
  <sheetData>
    <row r="1" spans="1:10" x14ac:dyDescent="0.25">
      <c r="A1" s="107" t="s">
        <v>96</v>
      </c>
      <c r="B1" s="107" t="s">
        <v>97</v>
      </c>
      <c r="C1" s="107" t="s">
        <v>98</v>
      </c>
      <c r="D1" s="108" t="s">
        <v>99</v>
      </c>
      <c r="E1" s="108" t="s">
        <v>100</v>
      </c>
    </row>
    <row r="2" spans="1:10" x14ac:dyDescent="0.25">
      <c r="A2" s="117" t="s">
        <v>101</v>
      </c>
      <c r="B2" s="118" t="inlineStr">
        <is>
          <t>10</t>
        </is>
      </c>
      <c r="C2" s="109" t="inlineStr">
        <is>
          <t>01/03/2026</t>
        </is>
      </c>
      <c r="D2" s="110">
        <v>74</v>
      </c>
      <c r="E2" s="110">
        <v>16</v>
      </c>
      <c r="F2" s="29"/>
      <c r="G2" s="2"/>
    </row>
    <row r="3" spans="1:10" x14ac:dyDescent="0.25">
      <c r="A3" s="117"/>
      <c r="B3" s="119" t="inlineStr">
        <is>
          <t>10</t>
        </is>
      </c>
      <c r="C3" s="109" t="inlineStr">
        <is>
          <t>02/03/2026</t>
        </is>
      </c>
      <c r="D3" s="110">
        <v>74</v>
      </c>
      <c r="E3" s="110">
        <v>16</v>
      </c>
      <c r="F3" s="30"/>
      <c r="G3" s="2"/>
      <c r="H3" s="31"/>
      <c r="I3" s="33" t="s">
        <v>102</v>
      </c>
      <c r="J3" s="33" t="s">
        <v>103</v>
      </c>
    </row>
    <row r="4" spans="1:10" x14ac:dyDescent="0.25">
      <c r="A4" s="117"/>
      <c r="B4" s="119" t="inlineStr">
        <is>
          <t>10</t>
        </is>
      </c>
      <c r="C4" s="109" t="inlineStr">
        <is>
          <t>03/03/2026</t>
        </is>
      </c>
      <c r="D4" s="110">
        <v>74</v>
      </c>
      <c r="E4" s="110">
        <v>16</v>
      </c>
      <c r="F4" s="30"/>
      <c r="G4" s="2"/>
      <c r="H4" s="31"/>
      <c r="I4" s="31"/>
      <c r="J4" s="31"/>
    </row>
    <row r="5" spans="1:10" x14ac:dyDescent="0.25">
      <c r="A5" s="117"/>
      <c r="B5" s="119" t="inlineStr">
        <is>
          <t>10</t>
        </is>
      </c>
      <c r="C5" s="109" t="inlineStr">
        <is>
          <t>04/03/2026</t>
        </is>
      </c>
      <c r="D5" s="110">
        <v>74</v>
      </c>
      <c r="E5" s="110">
        <v>16</v>
      </c>
      <c r="F5" s="30"/>
      <c r="G5" s="2"/>
      <c r="H5" s="32" t="s">
        <v>15</v>
      </c>
      <c r="I5" s="34">
        <f>D9+D17+D25+D33</f>
        <v>0</v>
      </c>
      <c r="J5" s="34">
        <f>E9+E17+E25+E33</f>
        <v>0</v>
      </c>
    </row>
    <row r="6" spans="1:10" x14ac:dyDescent="0.25">
      <c r="A6" s="117"/>
      <c r="B6" s="119" t="inlineStr">
        <is>
          <t>10</t>
        </is>
      </c>
      <c r="C6" s="109" t="inlineStr">
        <is>
          <t>05/03/2026</t>
        </is>
      </c>
      <c r="D6" s="110">
        <v>74</v>
      </c>
      <c r="E6" s="110">
        <v>16</v>
      </c>
      <c r="F6" s="30"/>
      <c r="G6" s="2"/>
      <c r="J6" s="2"/>
    </row>
    <row r="7" spans="1:10" x14ac:dyDescent="0.25">
      <c r="A7" s="117"/>
      <c r="B7" s="119" t="inlineStr">
        <is>
          <t>10</t>
        </is>
      </c>
      <c r="C7" s="109" t="inlineStr">
        <is>
          <t>06/03/2026</t>
        </is>
      </c>
      <c r="D7" s="110">
        <v>74</v>
      </c>
      <c r="E7" s="110">
        <v>16</v>
      </c>
      <c r="F7" s="30"/>
      <c r="G7" s="2"/>
      <c r="J7" s="2"/>
    </row>
    <row r="8" spans="1:10" x14ac:dyDescent="0.25">
      <c r="A8" s="117"/>
      <c r="B8" s="119" t="inlineStr">
        <is>
          <t>10</t>
        </is>
      </c>
      <c r="C8" s="109" t="inlineStr">
        <is>
          <t>07/03/2026</t>
        </is>
      </c>
      <c r="D8" s="110">
        <v>74</v>
      </c>
      <c r="E8" s="110">
        <v>16</v>
      </c>
      <c r="F8" s="30"/>
      <c r="G8" s="2"/>
      <c r="J8" s="2"/>
    </row>
    <row r="9" spans="1:10" x14ac:dyDescent="0.25">
      <c r="A9" s="117"/>
      <c r="B9" s="111"/>
      <c r="C9" s="111" t="s">
        <v>15</v>
      </c>
      <c r="D9" s="112"/>
      <c r="E9" s="112"/>
      <c r="F9" s="30"/>
      <c r="G9" s="2"/>
      <c r="J9" s="2"/>
    </row>
    <row r="10" spans="1:10" x14ac:dyDescent="0.25">
      <c r="A10" s="117"/>
      <c r="B10" s="118" t="inlineStr">
        <is>
          <t>11</t>
        </is>
      </c>
      <c r="C10" s="109" t="inlineStr">
        <is>
          <t>08/03/2026</t>
        </is>
      </c>
      <c r="D10" s="110">
        <v>74</v>
      </c>
      <c r="E10" s="110">
        <v>16</v>
      </c>
      <c r="F10" s="30"/>
      <c r="G10" s="2"/>
      <c r="J10" s="2"/>
    </row>
    <row r="11" spans="1:10" x14ac:dyDescent="0.25">
      <c r="A11" s="117"/>
      <c r="B11" s="119" t="inlineStr">
        <is>
          <t>11</t>
        </is>
      </c>
      <c r="C11" s="109" t="inlineStr">
        <is>
          <t>09/03/2026</t>
        </is>
      </c>
      <c r="D11" s="110">
        <v>74</v>
      </c>
      <c r="E11" s="110">
        <v>16</v>
      </c>
      <c r="F11" s="30"/>
      <c r="G11" s="2"/>
      <c r="J11" s="2"/>
    </row>
    <row r="12" spans="1:10" x14ac:dyDescent="0.25">
      <c r="A12" s="117"/>
      <c r="B12" s="119" t="inlineStr">
        <is>
          <t>11</t>
        </is>
      </c>
      <c r="C12" s="109" t="inlineStr">
        <is>
          <t>10/03/2026</t>
        </is>
      </c>
      <c r="D12" s="110">
        <v>74</v>
      </c>
      <c r="E12" s="110">
        <v>16</v>
      </c>
      <c r="F12" s="30"/>
      <c r="G12" s="2"/>
      <c r="J12" s="2"/>
    </row>
    <row r="13" spans="1:10" x14ac:dyDescent="0.25">
      <c r="A13" s="117"/>
      <c r="B13" s="119" t="inlineStr">
        <is>
          <t>11</t>
        </is>
      </c>
      <c r="C13" s="109" t="inlineStr">
        <is>
          <t>11/03/2026</t>
        </is>
      </c>
      <c r="D13" s="110">
        <v>74</v>
      </c>
      <c r="E13" s="110">
        <v>16</v>
      </c>
      <c r="F13" s="30"/>
      <c r="G13" s="2"/>
      <c r="J13" s="2"/>
    </row>
    <row r="14" spans="1:10" x14ac:dyDescent="0.25">
      <c r="A14" s="117"/>
      <c r="B14" s="119" t="inlineStr">
        <is>
          <t>11</t>
        </is>
      </c>
      <c r="C14" s="109" t="inlineStr">
        <is>
          <t>12/03/2026</t>
        </is>
      </c>
      <c r="D14" s="110">
        <v>74</v>
      </c>
      <c r="E14" s="110">
        <v>16</v>
      </c>
      <c r="F14" s="30"/>
      <c r="G14" s="2"/>
      <c r="J14" s="2"/>
    </row>
    <row r="15" spans="1:10" x14ac:dyDescent="0.25">
      <c r="A15" s="117"/>
      <c r="B15" s="119" t="inlineStr">
        <is>
          <t>11</t>
        </is>
      </c>
      <c r="C15" s="109" t="inlineStr">
        <is>
          <t>13/03/2026</t>
        </is>
      </c>
      <c r="D15" s="110">
        <v>74</v>
      </c>
      <c r="E15" s="110">
        <v>16</v>
      </c>
    </row>
    <row r="16" spans="1:10" x14ac:dyDescent="0.25">
      <c r="A16" s="117"/>
      <c r="B16" s="119" t="inlineStr">
        <is>
          <t>11</t>
        </is>
      </c>
      <c r="C16" s="109" t="inlineStr">
        <is>
          <t>14/03/2026</t>
        </is>
      </c>
      <c r="D16" s="110">
        <v>74</v>
      </c>
      <c r="E16" s="110">
        <v>16</v>
      </c>
    </row>
    <row r="17" spans="1:5" x14ac:dyDescent="0.25">
      <c r="A17" s="117"/>
      <c r="B17" s="111"/>
      <c r="C17" s="111" t="s">
        <v>15</v>
      </c>
      <c r="D17" s="112"/>
      <c r="E17" s="112"/>
    </row>
    <row r="18" spans="1:5" x14ac:dyDescent="0.25">
      <c r="A18" s="117"/>
      <c r="B18" s="118" t="inlineStr">
        <is>
          <t>12</t>
        </is>
      </c>
      <c r="C18" s="109" t="inlineStr">
        <is>
          <t>15/03/2026</t>
        </is>
      </c>
      <c r="D18" s="110">
        <v>74</v>
      </c>
      <c r="E18" s="110">
        <v>16</v>
      </c>
    </row>
    <row r="19" spans="1:5" x14ac:dyDescent="0.25">
      <c r="A19" s="117"/>
      <c r="B19" s="119" t="inlineStr">
        <is>
          <t>12</t>
        </is>
      </c>
      <c r="C19" s="109" t="inlineStr">
        <is>
          <t>16/03/2026</t>
        </is>
      </c>
      <c r="D19" s="110">
        <v>74</v>
      </c>
      <c r="E19" s="110">
        <v>16</v>
      </c>
    </row>
    <row r="20" spans="1:5" x14ac:dyDescent="0.25">
      <c r="A20" s="117"/>
      <c r="B20" s="119" t="inlineStr">
        <is>
          <t>12</t>
        </is>
      </c>
      <c r="C20" s="109" t="inlineStr">
        <is>
          <t>17/03/2026</t>
        </is>
      </c>
      <c r="D20" s="110">
        <v>74</v>
      </c>
      <c r="E20" s="110">
        <v>16</v>
      </c>
    </row>
    <row r="21" spans="1:5" x14ac:dyDescent="0.25">
      <c r="A21" s="117"/>
      <c r="B21" s="119" t="inlineStr">
        <is>
          <t>12</t>
        </is>
      </c>
      <c r="C21" s="109" t="inlineStr">
        <is>
          <t>18/03/2026</t>
        </is>
      </c>
      <c r="D21" s="110">
        <v>73</v>
      </c>
      <c r="E21" s="110">
        <v>17</v>
      </c>
    </row>
    <row r="22" spans="1:5" x14ac:dyDescent="0.25">
      <c r="A22" s="117"/>
      <c r="B22" s="119" t="inlineStr">
        <is>
          <t>12</t>
        </is>
      </c>
      <c r="C22" s="109" t="inlineStr">
        <is>
          <t>19/03/2026</t>
        </is>
      </c>
      <c r="D22" s="110">
        <v>73</v>
      </c>
      <c r="E22" s="110">
        <v>17</v>
      </c>
    </row>
    <row r="23" spans="1:5" x14ac:dyDescent="0.25">
      <c r="A23" s="117"/>
      <c r="B23" s="119" t="inlineStr">
        <is>
          <t>12</t>
        </is>
      </c>
      <c r="C23" s="109" t="inlineStr">
        <is>
          <t>20/03/2026</t>
        </is>
      </c>
      <c r="D23" s="110">
        <v>73</v>
      </c>
      <c r="E23" s="110">
        <v>17</v>
      </c>
    </row>
    <row r="24" spans="1:5" x14ac:dyDescent="0.25">
      <c r="A24" s="117"/>
      <c r="B24" s="119" t="inlineStr">
        <is>
          <t>12</t>
        </is>
      </c>
      <c r="C24" s="109" t="inlineStr">
        <is>
          <t>21/03/2026</t>
        </is>
      </c>
      <c r="D24" s="110">
        <v>73</v>
      </c>
      <c r="E24" s="110">
        <v>17</v>
      </c>
    </row>
    <row r="25" spans="1:5" x14ac:dyDescent="0.25">
      <c r="A25" s="117"/>
      <c r="B25" s="111"/>
      <c r="C25" s="111" t="s">
        <v>15</v>
      </c>
      <c r="D25" s="112"/>
      <c r="E25" s="112"/>
    </row>
    <row r="26" spans="1:5" x14ac:dyDescent="0.25">
      <c r="A26" s="117"/>
      <c r="B26" s="118" t="inlineStr">
        <is>
          <t>13</t>
        </is>
      </c>
      <c r="C26" s="109" t="inlineStr">
        <is>
          <t>22/03/2026</t>
        </is>
      </c>
      <c r="D26" s="110">
        <v>73</v>
      </c>
      <c r="E26" s="110">
        <v>17</v>
      </c>
    </row>
    <row r="27" spans="1:5" x14ac:dyDescent="0.25">
      <c r="A27" s="117"/>
      <c r="B27" s="119" t="inlineStr">
        <is>
          <t>13</t>
        </is>
      </c>
      <c r="C27" s="109" t="inlineStr">
        <is>
          <t>23/03/2026</t>
        </is>
      </c>
      <c r="D27" s="110">
        <v>73</v>
      </c>
      <c r="E27" s="110">
        <v>19</v>
      </c>
    </row>
    <row r="28" spans="1:5" x14ac:dyDescent="0.25">
      <c r="A28" s="117"/>
      <c r="B28" s="119" t="inlineStr">
        <is>
          <t>13</t>
        </is>
      </c>
      <c r="C28" s="109" t="inlineStr">
        <is>
          <t>24/03/2026</t>
        </is>
      </c>
      <c r="D28" s="110">
        <v>73</v>
      </c>
      <c r="E28" s="110">
        <v>19</v>
      </c>
    </row>
    <row r="29" spans="1:5" x14ac:dyDescent="0.25">
      <c r="A29" s="117"/>
      <c r="B29" s="119" t="inlineStr">
        <is>
          <t>13</t>
        </is>
      </c>
      <c r="C29" s="109" t="inlineStr">
        <is>
          <t>25/03/2026</t>
        </is>
      </c>
      <c r="D29" s="110">
        <v>73</v>
      </c>
      <c r="E29" s="110">
        <v>19</v>
      </c>
    </row>
    <row r="30" spans="1:5" x14ac:dyDescent="0.25">
      <c r="A30" s="117"/>
      <c r="B30" s="119" t="inlineStr">
        <is>
          <t>13</t>
        </is>
      </c>
      <c r="C30" s="109" t="inlineStr">
        <is>
          <t>26/03/2026</t>
        </is>
      </c>
      <c r="D30" s="110">
        <v>72</v>
      </c>
      <c r="E30" s="110">
        <v>20</v>
      </c>
    </row>
    <row r="31" spans="1:5" x14ac:dyDescent="0.25">
      <c r="A31" s="117"/>
      <c r="B31" s="119" t="inlineStr">
        <is>
          <t>13</t>
        </is>
      </c>
      <c r="C31" s="109" t="inlineStr">
        <is>
          <t>27/03/2026</t>
        </is>
      </c>
      <c r="D31" s="110">
        <v>71</v>
      </c>
      <c r="E31" s="110">
        <v>20</v>
      </c>
    </row>
    <row r="32" spans="1:5" x14ac:dyDescent="0.25">
      <c r="A32" s="117"/>
      <c r="B32" s="119" t="inlineStr">
        <is>
          <t>13</t>
        </is>
      </c>
      <c r="C32" s="109" t="inlineStr">
        <is>
          <t>28/03/2026</t>
        </is>
      </c>
      <c r="D32" s="110">
        <v>71</v>
      </c>
      <c r="E32" s="110">
        <v>20</v>
      </c>
    </row>
    <row r="33" spans="1:5" x14ac:dyDescent="0.25">
      <c r="A33" s="117"/>
      <c r="B33" s="111"/>
      <c r="C33" s="111" t="s">
        <v>15</v>
      </c>
      <c r="D33" s="112"/>
      <c r="E33" s="112"/>
    </row>
    <row r="34" spans="1:5" x14ac:dyDescent="0.25">
      <c r="A34" s="117"/>
      <c r="B34" s="116" t="inlineStr">
        <is>
          <t>14</t>
        </is>
      </c>
      <c r="C34" s="109" t="inlineStr">
        <is>
          <t>29/03/2026</t>
        </is>
      </c>
      <c r="D34" s="110">
        <v>71</v>
      </c>
      <c r="E34" s="110">
        <v>20</v>
      </c>
    </row>
    <row r="35" spans="1:5" x14ac:dyDescent="0.25">
      <c r="A35" s="117"/>
      <c r="B35" s="116" t="inlineStr">
        <is>
          <t>14</t>
        </is>
      </c>
      <c r="C35" s="109" t="inlineStr">
        <is>
          <t>30/03/2026</t>
        </is>
      </c>
      <c r="D35" s="110">
        <v>80</v>
      </c>
      <c r="E35" s="110">
        <v>21</v>
      </c>
    </row>
    <row r="36" spans="1:5" x14ac:dyDescent="0.25">
      <c r="A36" s="117"/>
      <c r="B36" s="116" t="inlineStr">
        <is>
          <t>14</t>
        </is>
      </c>
      <c r="C36" s="109" t="inlineStr">
        <is>
          <t>31/03/2026</t>
        </is>
      </c>
      <c r="D36" s="110">
        <v>80</v>
      </c>
      <c r="E36" s="110">
        <v>21</v>
      </c>
    </row>
    <row r="37" spans="1:5" x14ac:dyDescent="0.25">
      <c r="A37" s="117"/>
      <c r="B37" s="116"/>
      <c r="C37" s="109"/>
      <c r="D37" s="110"/>
      <c r="E37" s="110"/>
    </row>
    <row r="38" spans="1:5" x14ac:dyDescent="0.25">
      <c r="A38" s="117"/>
      <c r="B38" s="116"/>
      <c r="C38" s="109"/>
      <c r="D38" s="110"/>
      <c r="E38" s="110"/>
    </row>
    <row r="39" spans="1:5" x14ac:dyDescent="0.25">
      <c r="A39" s="117"/>
      <c r="B39" s="116"/>
      <c r="C39" s="109"/>
      <c r="D39" s="110"/>
      <c r="E39" s="110"/>
    </row>
    <row r="40" spans="1:5" x14ac:dyDescent="0.25">
      <c r="A40" s="117"/>
      <c r="B40" s="116"/>
      <c r="C40" s="109"/>
      <c r="D40" s="110"/>
      <c r="E40" s="110"/>
    </row>
    <row r="41" spans="1:5" x14ac:dyDescent="0.25">
      <c r="A41" s="117"/>
      <c r="B41" s="111"/>
      <c r="C41" s="111" t="s">
        <v>15</v>
      </c>
      <c r="D41" s="112"/>
      <c r="E41" s="112"/>
    </row>
  </sheetData>
  <mergeCells count="6">
    <mergeCell ref="B34:B40"/>
    <mergeCell ref="A2:A41"/>
    <mergeCell ref="B10:B16"/>
    <mergeCell ref="B26:B32"/>
    <mergeCell ref="B18:B24"/>
    <mergeCell ref="B2:B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0"/>
  <sheetViews>
    <sheetView topLeftCell="B1" workbookViewId="0">
      <selection activeCell="N1" sqref="N1"/>
    </sheetView>
  </sheetViews>
  <sheetFormatPr defaultColWidth="8.85546875" defaultRowHeight="21" x14ac:dyDescent="0.35"/>
  <cols>
    <col min="1" max="1" width="12.42578125" style="3" bestFit="1" customWidth="1"/>
    <col min="2" max="2" width="20" bestFit="1" customWidth="1"/>
    <col min="3" max="3" width="30.28515625" bestFit="1" customWidth="1"/>
    <col min="4" max="4" width="28.5703125" bestFit="1" customWidth="1"/>
    <col min="5" max="5" width="19.42578125" customWidth="1"/>
    <col min="6" max="6" width="12" bestFit="1" customWidth="1"/>
    <col min="7" max="7" width="6.28515625" bestFit="1" customWidth="1"/>
    <col min="8" max="8" width="7.28515625" bestFit="1" customWidth="1"/>
    <col min="9" max="9" width="8.7109375" bestFit="1" customWidth="1"/>
    <col min="10" max="10" width="8.140625" bestFit="1" customWidth="1"/>
    <col min="11" max="11" width="29.28515625" style="3" bestFit="1" customWidth="1"/>
    <col min="12" max="12" width="3" style="3" bestFit="1" customWidth="1"/>
    <col min="13" max="13" width="28.140625" style="3" bestFit="1" customWidth="1"/>
    <col min="14" max="14" width="3" style="3" bestFit="1" customWidth="1"/>
    <col min="15" max="15" width="19.85546875" style="3" bestFit="1" customWidth="1"/>
    <col min="16" max="19" width="8.7109375" style="3" bestFit="1" customWidth="1"/>
    <col min="20" max="20" width="8.85546875" style="3" customWidth="1"/>
    <col min="21" max="16384" width="8.85546875" style="3"/>
  </cols>
  <sheetData>
    <row r="1" spans="1:20" x14ac:dyDescent="0.35">
      <c r="A1" s="87" t="s">
        <v>104</v>
      </c>
      <c r="B1" s="87" t="s">
        <v>105</v>
      </c>
      <c r="C1" s="87" t="s">
        <v>106</v>
      </c>
      <c r="D1" s="87" t="s">
        <v>107</v>
      </c>
      <c r="E1" s="87" t="s">
        <v>108</v>
      </c>
      <c r="F1" s="87" t="s">
        <v>109</v>
      </c>
      <c r="G1" s="87" t="s">
        <v>110</v>
      </c>
      <c r="H1" s="87" t="s">
        <v>111</v>
      </c>
      <c r="I1" s="87" t="s">
        <v>112</v>
      </c>
      <c r="J1" s="87" t="s">
        <v>113</v>
      </c>
      <c r="K1" s="45" t="s">
        <v>132</v>
      </c>
      <c r="L1" s="36">
        <f>COUNTA(D2:D646)</f>
        <v>0</v>
      </c>
      <c r="M1" s="35" t="s">
        <v>114</v>
      </c>
      <c r="N1" s="36">
        <v>0</v>
      </c>
      <c r="P1" s="46" t="s">
        <v>28</v>
      </c>
      <c r="Q1" s="46" t="s">
        <v>111</v>
      </c>
      <c r="R1" s="46" t="s">
        <v>30</v>
      </c>
      <c r="S1" s="46" t="s">
        <v>113</v>
      </c>
    </row>
    <row r="2" spans="1:20" x14ac:dyDescent="0.35">
      <c r="A2" s="88"/>
      <c r="B2" s="88"/>
      <c r="C2" s="88"/>
      <c r="D2" s="88"/>
      <c r="E2" s="88"/>
      <c r="F2" s="88"/>
      <c r="G2" s="88"/>
      <c r="H2" s="88"/>
      <c r="I2" s="88"/>
      <c r="J2" s="88"/>
      <c r="O2" s="48" t="s">
        <v>115</v>
      </c>
      <c r="P2" s="49">
        <f>SUM(G2:G310)</f>
        <v>0</v>
      </c>
      <c r="Q2" s="49">
        <f>SUM(H2:H310)</f>
        <v>0</v>
      </c>
      <c r="R2" s="49">
        <f>SUM(I2:I310)</f>
        <v>0</v>
      </c>
      <c r="S2" s="49">
        <f>SUM(J2:J310)</f>
        <v>0</v>
      </c>
    </row>
    <row r="3" spans="1:20" x14ac:dyDescent="0.35">
      <c r="A3" s="88"/>
      <c r="B3" s="88"/>
      <c r="C3" s="88"/>
      <c r="D3" s="88"/>
      <c r="E3" s="88"/>
      <c r="F3" s="88"/>
      <c r="G3" s="88"/>
      <c r="H3" s="88"/>
      <c r="I3" s="88"/>
      <c r="J3" s="88"/>
      <c r="K3" s="89"/>
      <c r="L3" s="89"/>
      <c r="M3" s="89"/>
      <c r="N3" s="90"/>
      <c r="O3" s="91"/>
      <c r="P3" s="92"/>
      <c r="Q3" s="92"/>
      <c r="R3" s="92"/>
      <c r="S3" s="92"/>
      <c r="T3" s="89"/>
    </row>
    <row r="4" spans="1:20" x14ac:dyDescent="0.35">
      <c r="A4" s="88"/>
      <c r="B4" s="88"/>
      <c r="C4" s="88"/>
      <c r="D4" s="88"/>
      <c r="E4" s="88"/>
      <c r="F4" s="88"/>
      <c r="G4" s="88"/>
      <c r="H4" s="88"/>
      <c r="I4" s="88"/>
      <c r="J4" s="88"/>
      <c r="K4" s="89"/>
      <c r="L4" s="89"/>
      <c r="M4" s="89"/>
      <c r="N4" s="90"/>
      <c r="O4" s="91"/>
      <c r="P4" s="92"/>
      <c r="Q4" s="92"/>
      <c r="R4" s="92"/>
      <c r="S4" s="92"/>
      <c r="T4" s="89"/>
    </row>
    <row r="5" spans="1:20" x14ac:dyDescent="0.35">
      <c r="A5" s="88"/>
      <c r="B5" s="88"/>
      <c r="C5" s="88"/>
      <c r="D5" s="88"/>
      <c r="E5" s="88"/>
      <c r="F5" s="88"/>
      <c r="G5" s="88"/>
      <c r="H5" s="88"/>
      <c r="I5" s="88"/>
      <c r="J5" s="88"/>
      <c r="K5" s="89"/>
      <c r="L5" s="89"/>
      <c r="M5" s="89"/>
      <c r="N5" s="90"/>
      <c r="O5" s="91"/>
      <c r="P5" s="92"/>
      <c r="Q5" s="92"/>
      <c r="R5" s="92"/>
      <c r="S5" s="92"/>
      <c r="T5" s="89"/>
    </row>
    <row r="6" spans="1:20" x14ac:dyDescent="0.35">
      <c r="A6" s="88"/>
      <c r="B6" s="88"/>
      <c r="C6" s="88"/>
      <c r="D6" s="88"/>
      <c r="E6" s="88"/>
      <c r="F6" s="88"/>
      <c r="G6" s="88"/>
      <c r="H6" s="88"/>
      <c r="I6" s="88"/>
      <c r="J6" s="88"/>
      <c r="K6" s="89"/>
      <c r="L6" s="89"/>
      <c r="M6" s="89"/>
      <c r="N6" s="90"/>
      <c r="O6" s="91"/>
      <c r="P6" s="92"/>
      <c r="Q6" s="92"/>
      <c r="R6" s="92"/>
      <c r="S6" s="92"/>
      <c r="T6" s="89"/>
    </row>
    <row r="7" spans="1:20" x14ac:dyDescent="0.35">
      <c r="A7" s="88"/>
      <c r="B7" s="88"/>
      <c r="C7" s="88"/>
      <c r="D7" s="88"/>
      <c r="E7" s="88"/>
      <c r="F7" s="88"/>
      <c r="G7" s="88"/>
      <c r="H7" s="88"/>
      <c r="I7" s="88"/>
      <c r="J7" s="88"/>
      <c r="K7" s="89"/>
      <c r="L7" s="89"/>
      <c r="M7" s="89"/>
      <c r="N7" s="90"/>
      <c r="O7" s="91"/>
      <c r="P7" s="92"/>
      <c r="Q7" s="92"/>
      <c r="R7" s="92"/>
      <c r="S7" s="92"/>
      <c r="T7" s="89"/>
    </row>
    <row r="8" spans="1:20" x14ac:dyDescent="0.35">
      <c r="A8" s="88"/>
      <c r="B8" s="88"/>
      <c r="C8" s="88"/>
      <c r="D8" s="88"/>
      <c r="E8" s="88"/>
      <c r="F8" s="88"/>
      <c r="G8" s="88"/>
      <c r="H8" s="88"/>
      <c r="I8" s="88"/>
      <c r="J8" s="88"/>
      <c r="K8" s="89"/>
      <c r="L8" s="89"/>
      <c r="M8" s="89"/>
      <c r="N8" s="90"/>
      <c r="O8" s="91"/>
      <c r="P8" s="92"/>
      <c r="Q8" s="92"/>
      <c r="R8" s="92"/>
      <c r="S8" s="92"/>
      <c r="T8" s="89"/>
    </row>
    <row r="9" spans="1:20" x14ac:dyDescent="0.35">
      <c r="A9" s="88"/>
      <c r="B9" s="88"/>
      <c r="C9" s="88"/>
      <c r="D9" s="88"/>
      <c r="E9" s="88"/>
      <c r="F9" s="88"/>
      <c r="G9" s="88"/>
      <c r="H9" s="88"/>
      <c r="I9" s="88"/>
      <c r="J9" s="88"/>
    </row>
    <row r="10" spans="1:20" x14ac:dyDescent="0.35">
      <c r="A10" s="88"/>
      <c r="B10" s="88"/>
      <c r="C10" s="88"/>
      <c r="D10" s="88"/>
      <c r="E10" s="88"/>
      <c r="F10" s="88"/>
      <c r="G10" s="88"/>
      <c r="H10" s="88"/>
      <c r="I10" s="88"/>
      <c r="J10" s="88"/>
    </row>
    <row r="11" spans="1:20" x14ac:dyDescent="0.35">
      <c r="A11" s="88"/>
      <c r="B11" s="88"/>
      <c r="C11" s="88"/>
      <c r="D11" s="88"/>
      <c r="E11" s="88"/>
      <c r="F11" s="88"/>
      <c r="G11" s="88"/>
      <c r="H11" s="88"/>
      <c r="I11" s="88"/>
      <c r="J11" s="88"/>
    </row>
    <row r="12" spans="1:20" x14ac:dyDescent="0.35">
      <c r="A12" s="88"/>
      <c r="B12" s="88"/>
      <c r="C12" s="88"/>
      <c r="D12" s="88"/>
      <c r="E12" s="88"/>
      <c r="F12" s="88"/>
      <c r="G12" s="88"/>
      <c r="H12" s="88"/>
      <c r="I12" s="88"/>
      <c r="J12" s="88"/>
    </row>
    <row r="13" spans="1:20" x14ac:dyDescent="0.35">
      <c r="A13" s="88"/>
      <c r="B13" s="88"/>
      <c r="C13" s="88"/>
      <c r="D13" s="88"/>
      <c r="E13" s="88"/>
      <c r="F13" s="88"/>
      <c r="G13" s="88"/>
      <c r="H13" s="88"/>
      <c r="I13" s="88"/>
      <c r="J13" s="88"/>
    </row>
    <row r="14" spans="1:20" x14ac:dyDescent="0.35">
      <c r="A14" s="88"/>
      <c r="B14" s="88"/>
      <c r="C14" s="88"/>
      <c r="D14" s="88"/>
      <c r="E14" s="88"/>
      <c r="F14" s="88"/>
      <c r="G14" s="88"/>
      <c r="H14" s="88"/>
      <c r="I14" s="88"/>
      <c r="J14" s="88"/>
    </row>
    <row r="15" spans="1:20" x14ac:dyDescent="0.35">
      <c r="A15" s="88"/>
      <c r="B15" s="88"/>
      <c r="C15" s="88"/>
      <c r="D15" s="88"/>
      <c r="E15" s="88"/>
      <c r="F15" s="88"/>
      <c r="G15" s="88"/>
      <c r="H15" s="88"/>
      <c r="I15" s="88"/>
      <c r="J15" s="88"/>
    </row>
    <row r="16" spans="1:20" x14ac:dyDescent="0.35">
      <c r="A16" s="88"/>
      <c r="B16" s="88"/>
      <c r="C16" s="88"/>
      <c r="D16" s="88"/>
      <c r="E16" s="88"/>
      <c r="F16" s="88"/>
      <c r="G16" s="88"/>
      <c r="H16" s="88"/>
      <c r="I16" s="88"/>
      <c r="J16" s="88"/>
    </row>
    <row r="17" spans="1:10" x14ac:dyDescent="0.35">
      <c r="A17" s="88"/>
      <c r="B17" s="88"/>
      <c r="C17" s="88"/>
      <c r="D17" s="88"/>
      <c r="E17" s="88"/>
      <c r="F17" s="88"/>
      <c r="G17" s="88"/>
      <c r="H17" s="88"/>
      <c r="I17" s="88"/>
      <c r="J17" s="88"/>
    </row>
    <row r="18" spans="1:10" x14ac:dyDescent="0.35">
      <c r="A18" s="88"/>
      <c r="B18" s="88"/>
      <c r="C18" s="88"/>
      <c r="D18" s="88"/>
      <c r="E18" s="88"/>
      <c r="F18" s="88"/>
      <c r="G18" s="88"/>
      <c r="H18" s="88"/>
      <c r="I18" s="88"/>
      <c r="J18" s="88"/>
    </row>
    <row r="19" spans="1:10" x14ac:dyDescent="0.35">
      <c r="A19" s="88"/>
      <c r="B19" s="88"/>
      <c r="C19" s="88"/>
      <c r="D19" s="88"/>
      <c r="E19" s="88"/>
      <c r="F19" s="88"/>
      <c r="G19" s="88"/>
      <c r="H19" s="88"/>
      <c r="I19" s="88"/>
      <c r="J19" s="88"/>
    </row>
    <row r="20" spans="1:10" x14ac:dyDescent="0.35">
      <c r="A20" s="88"/>
      <c r="B20" s="88"/>
      <c r="C20" s="88"/>
      <c r="D20" s="88"/>
      <c r="E20" s="88"/>
      <c r="F20" s="88"/>
      <c r="G20" s="88"/>
      <c r="H20" s="88"/>
      <c r="I20" s="88"/>
      <c r="J20" s="88"/>
    </row>
    <row r="21" spans="1:10" x14ac:dyDescent="0.35">
      <c r="A21" s="88"/>
      <c r="B21" s="88"/>
      <c r="C21" s="88"/>
      <c r="D21" s="88"/>
      <c r="E21" s="88"/>
      <c r="F21" s="88"/>
      <c r="G21" s="88"/>
      <c r="H21" s="88"/>
      <c r="I21" s="88"/>
      <c r="J21" s="88"/>
    </row>
    <row r="22" spans="1:10" x14ac:dyDescent="0.35">
      <c r="A22" s="88"/>
      <c r="B22" s="88"/>
      <c r="C22" s="88"/>
      <c r="D22" s="88"/>
      <c r="E22" s="88"/>
      <c r="F22" s="88"/>
      <c r="G22" s="88"/>
      <c r="H22" s="88"/>
      <c r="I22" s="88"/>
      <c r="J22" s="88"/>
    </row>
    <row r="23" spans="1:10" x14ac:dyDescent="0.35">
      <c r="A23" s="88"/>
      <c r="B23" s="88"/>
      <c r="C23" s="88"/>
      <c r="D23" s="88"/>
      <c r="E23" s="88"/>
      <c r="F23" s="88"/>
      <c r="G23" s="88"/>
      <c r="H23" s="88"/>
      <c r="I23" s="88"/>
      <c r="J23" s="88"/>
    </row>
    <row r="24" spans="1:10" x14ac:dyDescent="0.35">
      <c r="A24" s="88"/>
      <c r="B24" s="88"/>
      <c r="C24" s="88"/>
      <c r="D24" s="88"/>
      <c r="E24" s="88"/>
      <c r="F24" s="88"/>
      <c r="G24" s="88"/>
      <c r="H24" s="88"/>
      <c r="I24" s="88"/>
      <c r="J24" s="88"/>
    </row>
    <row r="25" spans="1:10" x14ac:dyDescent="0.35">
      <c r="A25" s="88"/>
      <c r="B25" s="88"/>
      <c r="C25" s="88"/>
      <c r="D25" s="88"/>
      <c r="E25" s="88"/>
      <c r="F25" s="88"/>
      <c r="G25" s="88"/>
      <c r="H25" s="88"/>
      <c r="I25" s="88"/>
      <c r="J25" s="88"/>
    </row>
    <row r="26" spans="1:10" x14ac:dyDescent="0.35">
      <c r="A26" s="88"/>
      <c r="B26" s="88"/>
      <c r="C26" s="88"/>
      <c r="D26" s="88"/>
      <c r="E26" s="88"/>
      <c r="F26" s="88"/>
      <c r="G26" s="88"/>
      <c r="H26" s="88"/>
      <c r="I26" s="88"/>
      <c r="J26" s="88"/>
    </row>
    <row r="27" spans="1:10" x14ac:dyDescent="0.35">
      <c r="A27" s="88"/>
      <c r="B27" s="88"/>
      <c r="C27" s="88"/>
      <c r="D27" s="88"/>
      <c r="E27" s="88"/>
      <c r="F27" s="88"/>
      <c r="G27" s="88"/>
      <c r="H27" s="88"/>
      <c r="I27" s="88"/>
      <c r="J27" s="88"/>
    </row>
    <row r="28" spans="1:10" x14ac:dyDescent="0.35">
      <c r="A28" s="88"/>
      <c r="B28" s="88"/>
      <c r="C28" s="88"/>
      <c r="D28" s="88"/>
      <c r="E28" s="88"/>
      <c r="F28" s="88"/>
      <c r="G28" s="88"/>
      <c r="H28" s="88"/>
      <c r="I28" s="88"/>
      <c r="J28" s="88"/>
    </row>
    <row r="29" spans="1:10" x14ac:dyDescent="0.35">
      <c r="A29" s="88"/>
      <c r="B29" s="88"/>
      <c r="C29" s="88"/>
      <c r="D29" s="88"/>
      <c r="E29" s="88"/>
      <c r="F29" s="88"/>
      <c r="G29" s="88"/>
      <c r="H29" s="88"/>
      <c r="I29" s="88"/>
      <c r="J29" s="88"/>
    </row>
    <row r="30" spans="1:10" x14ac:dyDescent="0.35">
      <c r="A30" s="88"/>
      <c r="B30" s="88"/>
      <c r="C30" s="88"/>
      <c r="D30" s="88"/>
      <c r="E30" s="88"/>
      <c r="F30" s="88"/>
      <c r="G30" s="88"/>
      <c r="H30" s="88"/>
      <c r="I30" s="88"/>
      <c r="J30" s="88"/>
    </row>
    <row r="31" spans="1:10" x14ac:dyDescent="0.35">
      <c r="A31" s="88"/>
      <c r="B31" s="88"/>
      <c r="C31" s="88"/>
      <c r="D31" s="88"/>
      <c r="E31" s="88"/>
      <c r="F31" s="88"/>
      <c r="G31" s="88"/>
      <c r="H31" s="88"/>
      <c r="I31" s="88"/>
      <c r="J31" s="88"/>
    </row>
    <row r="32" spans="1:10" x14ac:dyDescent="0.35">
      <c r="A32" s="88"/>
      <c r="B32" s="88"/>
      <c r="C32" s="88"/>
      <c r="D32" s="88"/>
      <c r="E32" s="88"/>
      <c r="F32" s="88"/>
      <c r="G32" s="88"/>
      <c r="H32" s="88"/>
      <c r="I32" s="88"/>
      <c r="J32" s="88"/>
    </row>
    <row r="33" spans="1:10" x14ac:dyDescent="0.35">
      <c r="A33" s="88"/>
      <c r="B33" s="88"/>
      <c r="C33" s="88"/>
      <c r="D33" s="88"/>
      <c r="E33" s="88"/>
      <c r="F33" s="88"/>
      <c r="G33" s="88"/>
      <c r="H33" s="88"/>
      <c r="I33" s="88"/>
      <c r="J33" s="88"/>
    </row>
    <row r="34" spans="1:10" x14ac:dyDescent="0.35">
      <c r="A34" s="88"/>
      <c r="B34" s="88"/>
      <c r="C34" s="88"/>
      <c r="D34" s="88"/>
      <c r="E34" s="88"/>
      <c r="F34" s="88"/>
      <c r="G34" s="88"/>
      <c r="H34" s="88"/>
      <c r="I34" s="88"/>
      <c r="J34" s="88"/>
    </row>
    <row r="35" spans="1:10" x14ac:dyDescent="0.35">
      <c r="A35" s="88"/>
      <c r="B35" s="88"/>
      <c r="C35" s="88"/>
      <c r="D35" s="88"/>
      <c r="E35" s="88"/>
      <c r="F35" s="88"/>
      <c r="G35" s="88"/>
      <c r="H35" s="88"/>
      <c r="I35" s="88"/>
      <c r="J35" s="88"/>
    </row>
    <row r="36" spans="1:10" x14ac:dyDescent="0.35">
      <c r="A36" s="88"/>
      <c r="B36" s="88"/>
      <c r="C36" s="88"/>
      <c r="D36" s="88"/>
      <c r="E36" s="88"/>
      <c r="F36" s="88"/>
      <c r="G36" s="88"/>
      <c r="H36" s="88"/>
      <c r="I36" s="88"/>
      <c r="J36" s="88"/>
    </row>
    <row r="37" spans="1:10" x14ac:dyDescent="0.35">
      <c r="A37" s="88"/>
      <c r="B37" s="88"/>
      <c r="C37" s="88"/>
      <c r="D37" s="88"/>
      <c r="E37" s="88"/>
      <c r="F37" s="88"/>
      <c r="G37" s="88"/>
      <c r="H37" s="88"/>
      <c r="I37" s="88"/>
      <c r="J37" s="88"/>
    </row>
    <row r="38" spans="1:10" x14ac:dyDescent="0.35">
      <c r="A38" s="88"/>
      <c r="B38" s="88"/>
      <c r="C38" s="88"/>
      <c r="D38" s="88"/>
      <c r="E38" s="88"/>
      <c r="F38" s="88"/>
      <c r="G38" s="88"/>
      <c r="H38" s="88"/>
      <c r="I38" s="88"/>
      <c r="J38" s="88"/>
    </row>
    <row r="39" spans="1:10" x14ac:dyDescent="0.35">
      <c r="A39" s="88"/>
      <c r="B39" s="88"/>
      <c r="C39" s="88"/>
      <c r="D39" s="88"/>
      <c r="E39" s="88"/>
      <c r="F39" s="88"/>
      <c r="G39" s="88"/>
      <c r="H39" s="88"/>
      <c r="I39" s="88"/>
      <c r="J39" s="88"/>
    </row>
    <row r="40" spans="1:10" x14ac:dyDescent="0.35">
      <c r="A40" s="88"/>
      <c r="B40" s="88"/>
      <c r="C40" s="88"/>
      <c r="D40" s="88"/>
      <c r="E40" s="88"/>
      <c r="F40" s="88"/>
      <c r="G40" s="88"/>
      <c r="H40" s="88"/>
      <c r="I40" s="88"/>
      <c r="J40" s="88"/>
    </row>
    <row r="41" spans="1:10" x14ac:dyDescent="0.35">
      <c r="A41" s="88"/>
      <c r="B41" s="88"/>
      <c r="C41" s="88"/>
      <c r="D41" s="88"/>
      <c r="E41" s="88"/>
      <c r="F41" s="88"/>
      <c r="G41" s="88"/>
      <c r="H41" s="88"/>
      <c r="I41" s="88"/>
      <c r="J41" s="88"/>
    </row>
    <row r="42" spans="1:10" x14ac:dyDescent="0.35">
      <c r="A42" s="88"/>
      <c r="B42" s="88"/>
      <c r="C42" s="88"/>
      <c r="D42" s="88"/>
      <c r="E42" s="88"/>
      <c r="F42" s="88"/>
      <c r="G42" s="88"/>
      <c r="H42" s="88"/>
      <c r="I42" s="88"/>
      <c r="J42" s="88"/>
    </row>
    <row r="43" spans="1:10" x14ac:dyDescent="0.35">
      <c r="A43" s="88"/>
      <c r="B43" s="88"/>
      <c r="C43" s="88"/>
      <c r="D43" s="88"/>
      <c r="E43" s="88"/>
      <c r="F43" s="88"/>
      <c r="G43" s="88"/>
      <c r="H43" s="88"/>
      <c r="I43" s="88"/>
      <c r="J43" s="88"/>
    </row>
    <row r="44" spans="1:10" x14ac:dyDescent="0.35">
      <c r="A44" s="88"/>
      <c r="B44" s="88"/>
      <c r="C44" s="88"/>
      <c r="D44" s="88"/>
      <c r="E44" s="88"/>
      <c r="F44" s="88"/>
      <c r="G44" s="88"/>
      <c r="H44" s="88"/>
      <c r="I44" s="88"/>
      <c r="J44" s="88"/>
    </row>
    <row r="45" spans="1:10" x14ac:dyDescent="0.35">
      <c r="A45" s="88"/>
      <c r="B45" s="88"/>
      <c r="C45" s="88"/>
      <c r="D45" s="88"/>
      <c r="E45" s="88"/>
      <c r="F45" s="88"/>
      <c r="G45" s="88"/>
      <c r="H45" s="88"/>
      <c r="I45" s="88"/>
      <c r="J45" s="88"/>
    </row>
    <row r="46" spans="1:10" x14ac:dyDescent="0.35">
      <c r="A46" s="88"/>
      <c r="B46" s="88"/>
      <c r="C46" s="88"/>
      <c r="D46" s="88"/>
      <c r="E46" s="88"/>
      <c r="F46" s="88"/>
      <c r="G46" s="88"/>
      <c r="H46" s="88"/>
      <c r="I46" s="88"/>
      <c r="J46" s="88"/>
    </row>
    <row r="47" spans="1:10" x14ac:dyDescent="0.35">
      <c r="A47" s="88"/>
      <c r="B47" s="88"/>
      <c r="C47" s="88"/>
      <c r="D47" s="88"/>
      <c r="E47" s="88"/>
      <c r="F47" s="88"/>
      <c r="G47" s="88"/>
      <c r="H47" s="88"/>
      <c r="I47" s="88"/>
      <c r="J47" s="88"/>
    </row>
    <row r="48" spans="1:10" x14ac:dyDescent="0.35">
      <c r="A48" s="88"/>
      <c r="B48" s="88"/>
      <c r="C48" s="88"/>
      <c r="D48" s="88"/>
      <c r="E48" s="88"/>
      <c r="F48" s="88"/>
      <c r="G48" s="88"/>
      <c r="H48" s="88"/>
      <c r="I48" s="88"/>
      <c r="J48" s="88"/>
    </row>
    <row r="49" spans="1:10" x14ac:dyDescent="0.35">
      <c r="A49" s="88"/>
      <c r="B49" s="88"/>
      <c r="C49" s="88"/>
      <c r="D49" s="88"/>
      <c r="E49" s="88"/>
      <c r="F49" s="88"/>
      <c r="G49" s="88"/>
      <c r="H49" s="88"/>
      <c r="I49" s="88"/>
      <c r="J49" s="88"/>
    </row>
    <row r="50" spans="1:10" x14ac:dyDescent="0.35">
      <c r="A50" s="88"/>
      <c r="B50" s="88"/>
      <c r="C50" s="88"/>
      <c r="D50" s="88"/>
      <c r="E50" s="88"/>
      <c r="F50" s="88"/>
      <c r="G50" s="88"/>
      <c r="H50" s="88"/>
      <c r="I50" s="88"/>
      <c r="J50" s="88"/>
    </row>
    <row r="51" spans="1:10" x14ac:dyDescent="0.35">
      <c r="A51" s="88"/>
      <c r="B51" s="88"/>
      <c r="C51" s="88"/>
      <c r="D51" s="88"/>
      <c r="E51" s="88"/>
      <c r="F51" s="88"/>
      <c r="G51" s="88"/>
      <c r="H51" s="88"/>
      <c r="I51" s="88"/>
      <c r="J51" s="88"/>
    </row>
    <row r="52" spans="1:10" x14ac:dyDescent="0.35">
      <c r="A52" s="88"/>
      <c r="B52" s="88"/>
      <c r="C52" s="88"/>
      <c r="D52" s="88"/>
      <c r="E52" s="88"/>
      <c r="F52" s="88"/>
      <c r="G52" s="88"/>
      <c r="H52" s="88"/>
      <c r="I52" s="88"/>
      <c r="J52" s="88"/>
    </row>
    <row r="53" spans="1:10" x14ac:dyDescent="0.35">
      <c r="A53" s="88"/>
      <c r="B53" s="88"/>
      <c r="C53" s="88"/>
      <c r="D53" s="88"/>
      <c r="E53" s="88"/>
      <c r="F53" s="88"/>
      <c r="G53" s="88"/>
      <c r="H53" s="88"/>
      <c r="I53" s="88"/>
      <c r="J53" s="88"/>
    </row>
    <row r="54" spans="1:10" x14ac:dyDescent="0.35">
      <c r="A54" s="88"/>
      <c r="B54" s="88"/>
      <c r="C54" s="88"/>
      <c r="D54" s="88"/>
      <c r="E54" s="88"/>
      <c r="F54" s="88"/>
      <c r="G54" s="88"/>
      <c r="H54" s="88"/>
      <c r="I54" s="88"/>
      <c r="J54" s="88"/>
    </row>
    <row r="55" spans="1:10" x14ac:dyDescent="0.35">
      <c r="A55" s="88"/>
      <c r="B55" s="88"/>
      <c r="C55" s="88"/>
      <c r="D55" s="88"/>
      <c r="E55" s="88"/>
      <c r="F55" s="88"/>
      <c r="G55" s="88"/>
      <c r="H55" s="88"/>
      <c r="I55" s="88"/>
      <c r="J55" s="88"/>
    </row>
    <row r="56" spans="1:10" x14ac:dyDescent="0.35">
      <c r="A56" s="88"/>
      <c r="B56" s="88"/>
      <c r="C56" s="88"/>
      <c r="D56" s="88"/>
      <c r="E56" s="88"/>
      <c r="F56" s="88"/>
      <c r="G56" s="88"/>
      <c r="H56" s="88"/>
      <c r="I56" s="88"/>
      <c r="J56" s="88"/>
    </row>
    <row r="57" spans="1:10" x14ac:dyDescent="0.35">
      <c r="A57" s="88"/>
      <c r="B57" s="88"/>
      <c r="C57" s="88"/>
      <c r="D57" s="88"/>
      <c r="E57" s="88"/>
      <c r="F57" s="88"/>
      <c r="G57" s="88"/>
      <c r="H57" s="88"/>
      <c r="I57" s="88"/>
      <c r="J57" s="88"/>
    </row>
    <row r="58" spans="1:10" x14ac:dyDescent="0.35">
      <c r="A58" s="88"/>
      <c r="B58" s="88"/>
      <c r="C58" s="88"/>
      <c r="D58" s="88"/>
      <c r="E58" s="88"/>
      <c r="F58" s="88"/>
      <c r="G58" s="88"/>
      <c r="H58" s="88"/>
      <c r="I58" s="88"/>
      <c r="J58" s="88"/>
    </row>
    <row r="59" spans="1:10" x14ac:dyDescent="0.35">
      <c r="A59" s="88"/>
      <c r="B59" s="88"/>
      <c r="C59" s="88"/>
      <c r="D59" s="88"/>
      <c r="E59" s="88"/>
      <c r="F59" s="88"/>
      <c r="G59" s="88"/>
      <c r="H59" s="88"/>
      <c r="I59" s="88"/>
      <c r="J59" s="88"/>
    </row>
    <row r="60" spans="1:10" x14ac:dyDescent="0.35">
      <c r="A60" s="88"/>
      <c r="B60" s="88"/>
      <c r="C60" s="88"/>
      <c r="D60" s="88"/>
      <c r="E60" s="88"/>
      <c r="F60" s="88"/>
      <c r="G60" s="88"/>
      <c r="H60" s="88"/>
      <c r="I60" s="88"/>
      <c r="J60" s="88"/>
    </row>
    <row r="61" spans="1:10" x14ac:dyDescent="0.35">
      <c r="A61" s="88"/>
      <c r="B61" s="88"/>
      <c r="C61" s="88"/>
      <c r="D61" s="88"/>
      <c r="E61" s="88"/>
      <c r="F61" s="88"/>
      <c r="G61" s="88"/>
      <c r="H61" s="88"/>
      <c r="I61" s="88"/>
      <c r="J61" s="88"/>
    </row>
    <row r="62" spans="1:10" x14ac:dyDescent="0.35">
      <c r="A62" s="88"/>
      <c r="B62" s="88"/>
      <c r="C62" s="88"/>
      <c r="D62" s="88"/>
      <c r="E62" s="88"/>
      <c r="F62" s="88"/>
      <c r="G62" s="88"/>
      <c r="H62" s="88"/>
      <c r="I62" s="88"/>
      <c r="J62" s="88"/>
    </row>
    <row r="63" spans="1:10" x14ac:dyDescent="0.35">
      <c r="A63" s="88"/>
      <c r="B63" s="88"/>
      <c r="C63" s="88"/>
      <c r="D63" s="88"/>
      <c r="E63" s="88"/>
      <c r="F63" s="88"/>
      <c r="G63" s="88"/>
      <c r="H63" s="88"/>
      <c r="I63" s="88"/>
      <c r="J63" s="88"/>
    </row>
    <row r="64" spans="1:10" x14ac:dyDescent="0.35">
      <c r="A64" s="88"/>
      <c r="B64" s="88"/>
      <c r="C64" s="88"/>
      <c r="D64" s="88"/>
      <c r="E64" s="88"/>
      <c r="F64" s="88"/>
      <c r="G64" s="88"/>
      <c r="H64" s="88"/>
      <c r="I64" s="88"/>
      <c r="J64" s="88"/>
    </row>
    <row r="65" spans="1:10" x14ac:dyDescent="0.35">
      <c r="A65" s="88"/>
      <c r="B65" s="88"/>
      <c r="C65" s="88"/>
      <c r="D65" s="88"/>
      <c r="E65" s="88"/>
      <c r="F65" s="88"/>
      <c r="G65" s="88"/>
      <c r="H65" s="88"/>
      <c r="I65" s="88"/>
      <c r="J65" s="88"/>
    </row>
    <row r="66" spans="1:10" x14ac:dyDescent="0.35">
      <c r="A66" s="88"/>
      <c r="B66" s="88"/>
      <c r="C66" s="88"/>
      <c r="D66" s="88"/>
      <c r="E66" s="88"/>
      <c r="F66" s="88"/>
      <c r="G66" s="88"/>
      <c r="H66" s="88"/>
      <c r="I66" s="88"/>
      <c r="J66" s="88"/>
    </row>
    <row r="67" spans="1:10" x14ac:dyDescent="0.35">
      <c r="A67" s="88"/>
      <c r="B67" s="88"/>
      <c r="C67" s="88"/>
      <c r="D67" s="88"/>
      <c r="E67" s="88"/>
      <c r="F67" s="88"/>
      <c r="G67" s="88"/>
      <c r="H67" s="88"/>
      <c r="I67" s="88"/>
      <c r="J67" s="88"/>
    </row>
    <row r="68" spans="1:10" x14ac:dyDescent="0.35">
      <c r="A68" s="88"/>
      <c r="B68" s="88"/>
      <c r="C68" s="88"/>
      <c r="D68" s="88"/>
      <c r="E68" s="88"/>
      <c r="F68" s="88"/>
      <c r="G68" s="88"/>
      <c r="H68" s="88"/>
      <c r="I68" s="88"/>
      <c r="J68" s="88"/>
    </row>
    <row r="69" spans="1:10" x14ac:dyDescent="0.35">
      <c r="A69" s="88"/>
      <c r="B69" s="88"/>
      <c r="C69" s="88"/>
      <c r="D69" s="88"/>
      <c r="E69" s="88"/>
      <c r="F69" s="88"/>
      <c r="G69" s="88"/>
      <c r="H69" s="88"/>
      <c r="I69" s="88"/>
      <c r="J69" s="88"/>
    </row>
    <row r="70" spans="1:10" x14ac:dyDescent="0.35">
      <c r="A70" s="88"/>
      <c r="B70" s="88"/>
      <c r="C70" s="88"/>
      <c r="D70" s="88"/>
      <c r="E70" s="88"/>
      <c r="F70" s="88"/>
      <c r="G70" s="88"/>
      <c r="H70" s="88"/>
      <c r="I70" s="88"/>
      <c r="J70" s="8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9"/>
  <sheetViews>
    <sheetView workbookViewId="0">
      <selection activeCell="P6" sqref="P6"/>
    </sheetView>
  </sheetViews>
  <sheetFormatPr defaultColWidth="8.85546875" defaultRowHeight="21" x14ac:dyDescent="0.35"/>
  <cols>
    <col min="1" max="1" width="14.5703125" style="3" bestFit="1" customWidth="1"/>
    <col min="2" max="2" width="13.7109375" customWidth="1"/>
    <col min="3" max="3" width="20.42578125" bestFit="1" customWidth="1"/>
    <col min="4" max="4" width="14.140625" bestFit="1" customWidth="1"/>
    <col min="5" max="5" width="30.28515625" bestFit="1" customWidth="1"/>
    <col min="6" max="6" width="17.140625" customWidth="1"/>
    <col min="7" max="7" width="14.28515625" customWidth="1"/>
    <col min="8" max="8" width="6.28515625" bestFit="1" customWidth="1"/>
    <col min="9" max="9" width="7.28515625" bestFit="1" customWidth="1"/>
    <col min="10" max="10" width="8.7109375" bestFit="1" customWidth="1"/>
    <col min="11" max="11" width="8.140625" bestFit="1" customWidth="1"/>
    <col min="12" max="12" width="31.42578125" style="3" bestFit="1" customWidth="1"/>
    <col min="13" max="13" width="4.5703125" style="3" bestFit="1" customWidth="1"/>
    <col min="14" max="14" width="8.85546875" style="3" customWidth="1"/>
    <col min="15" max="15" width="21.85546875" style="3" customWidth="1"/>
    <col min="16" max="16" width="26.140625" style="3" bestFit="1" customWidth="1"/>
    <col min="17" max="17" width="6.28515625" style="3" bestFit="1" customWidth="1"/>
    <col min="18" max="18" width="7.28515625" style="3" bestFit="1" customWidth="1"/>
    <col min="19" max="19" width="8.7109375" style="3" bestFit="1" customWidth="1"/>
    <col min="20" max="20" width="8.140625" style="3" bestFit="1" customWidth="1"/>
    <col min="21" max="21" width="8.85546875" style="3" customWidth="1"/>
    <col min="22" max="16384" width="8.85546875" style="3"/>
  </cols>
  <sheetData>
    <row r="1" spans="1:21" ht="42" x14ac:dyDescent="0.35">
      <c r="A1" s="68" t="s">
        <v>34</v>
      </c>
      <c r="B1" s="100" t="s">
        <v>105</v>
      </c>
      <c r="C1" s="100" t="s">
        <v>106</v>
      </c>
      <c r="D1" s="68" t="s">
        <v>116</v>
      </c>
      <c r="E1" s="68" t="s">
        <v>107</v>
      </c>
      <c r="F1" s="68" t="s">
        <v>117</v>
      </c>
      <c r="G1" s="100" t="s">
        <v>118</v>
      </c>
      <c r="H1" s="68" t="s">
        <v>110</v>
      </c>
      <c r="I1" s="68" t="s">
        <v>111</v>
      </c>
      <c r="J1" s="68" t="s">
        <v>112</v>
      </c>
      <c r="K1" s="68" t="s">
        <v>113</v>
      </c>
      <c r="L1" s="47"/>
    </row>
    <row r="2" spans="1:21" x14ac:dyDescent="0.35">
      <c r="A2" s="69"/>
      <c r="B2" s="86"/>
      <c r="C2" s="86"/>
      <c r="D2" s="86"/>
      <c r="E2" s="70"/>
      <c r="F2" s="70"/>
      <c r="G2" s="70"/>
      <c r="H2" s="71"/>
      <c r="I2" s="71"/>
      <c r="J2" s="71"/>
      <c r="K2" s="72"/>
      <c r="L2" s="45" t="s">
        <v>130</v>
      </c>
      <c r="M2" s="36">
        <f>COUNTA(E2:E977)-M4</f>
        <v>0</v>
      </c>
    </row>
    <row r="3" spans="1:21" x14ac:dyDescent="0.35">
      <c r="A3" s="69"/>
      <c r="B3" s="86"/>
      <c r="C3" s="86"/>
      <c r="D3" s="86"/>
      <c r="E3" s="70"/>
      <c r="F3" s="70"/>
      <c r="G3" s="70"/>
      <c r="H3" s="71"/>
      <c r="I3" s="71"/>
      <c r="J3" s="71"/>
      <c r="K3" s="72"/>
    </row>
    <row r="4" spans="1:21" x14ac:dyDescent="0.35">
      <c r="A4" s="69"/>
      <c r="B4" s="86"/>
      <c r="C4" s="86"/>
      <c r="D4" s="86"/>
      <c r="E4" s="70"/>
      <c r="F4" s="70"/>
      <c r="G4" s="70"/>
      <c r="H4" s="71"/>
      <c r="I4" s="71"/>
      <c r="J4" s="71"/>
      <c r="K4" s="72"/>
      <c r="L4" s="43" t="s">
        <v>119</v>
      </c>
      <c r="M4" s="41">
        <v>0</v>
      </c>
    </row>
    <row r="5" spans="1:21" x14ac:dyDescent="0.35">
      <c r="A5" s="69"/>
      <c r="B5" s="86"/>
      <c r="C5" s="86"/>
      <c r="D5" s="86"/>
      <c r="E5" s="70"/>
      <c r="F5" s="70"/>
      <c r="G5" s="70"/>
      <c r="H5" s="72"/>
      <c r="I5" s="71"/>
      <c r="J5" s="71"/>
      <c r="K5" s="72"/>
      <c r="P5" s="46" t="s">
        <v>118</v>
      </c>
      <c r="Q5" s="46" t="s">
        <v>110</v>
      </c>
      <c r="R5" s="46" t="s">
        <v>111</v>
      </c>
      <c r="S5" s="46" t="s">
        <v>112</v>
      </c>
      <c r="T5" s="46" t="s">
        <v>113</v>
      </c>
    </row>
    <row r="6" spans="1:21" x14ac:dyDescent="0.35">
      <c r="A6" s="69"/>
      <c r="B6" s="86"/>
      <c r="C6" s="86"/>
      <c r="D6" s="86"/>
      <c r="E6" s="70"/>
      <c r="F6" s="70"/>
      <c r="G6" s="70"/>
      <c r="H6" s="71"/>
      <c r="I6" s="71"/>
      <c r="J6" s="71"/>
      <c r="K6" s="72"/>
      <c r="L6" s="93"/>
      <c r="M6" s="93"/>
      <c r="O6" s="48" t="s">
        <v>131</v>
      </c>
      <c r="P6" s="49">
        <f>SUM(G2:G25)</f>
        <v>0</v>
      </c>
      <c r="Q6" s="49">
        <f>SUM(H2:H25)</f>
        <v>0</v>
      </c>
      <c r="R6" s="49">
        <f>SUM(I2:I558)</f>
        <v>0</v>
      </c>
      <c r="S6" s="49">
        <f>SUM(J2:J558)</f>
        <v>0</v>
      </c>
      <c r="T6" s="49">
        <f>SUM(K2:K558)</f>
        <v>0</v>
      </c>
    </row>
    <row r="7" spans="1:21" x14ac:dyDescent="0.35">
      <c r="A7" s="69"/>
      <c r="B7" s="86"/>
      <c r="C7" s="86"/>
      <c r="D7" s="86"/>
      <c r="E7" s="70"/>
      <c r="F7" s="70"/>
      <c r="G7" s="70"/>
      <c r="H7" s="71"/>
      <c r="I7" s="72"/>
      <c r="J7" s="71"/>
      <c r="K7" s="72"/>
      <c r="L7" s="93"/>
      <c r="M7" s="93"/>
    </row>
    <row r="8" spans="1:21" x14ac:dyDescent="0.35">
      <c r="A8" s="69"/>
      <c r="B8" s="86"/>
      <c r="C8" s="86"/>
      <c r="D8" s="86"/>
      <c r="E8" s="70"/>
      <c r="F8" s="70"/>
      <c r="G8" s="70"/>
      <c r="H8" s="72"/>
      <c r="I8" s="72"/>
      <c r="J8" s="72"/>
      <c r="K8" s="72"/>
      <c r="L8" s="93"/>
      <c r="M8" s="93"/>
    </row>
    <row r="9" spans="1:21" x14ac:dyDescent="0.35">
      <c r="A9" s="69"/>
      <c r="B9" s="86"/>
      <c r="C9" s="86"/>
      <c r="D9" s="86"/>
      <c r="E9" s="70"/>
      <c r="F9" s="70"/>
      <c r="G9" s="70"/>
      <c r="H9" s="71"/>
      <c r="I9" s="71"/>
      <c r="K9" s="72"/>
      <c r="L9" s="93"/>
      <c r="M9" s="93"/>
    </row>
    <row r="10" spans="1:21" x14ac:dyDescent="0.35">
      <c r="A10" s="69"/>
      <c r="B10" s="86"/>
      <c r="C10" s="86"/>
      <c r="D10" s="86"/>
      <c r="E10" s="70"/>
      <c r="F10" s="70"/>
      <c r="G10" s="70"/>
      <c r="H10" s="72"/>
      <c r="I10" s="71"/>
      <c r="J10" s="71"/>
      <c r="K10" s="71"/>
      <c r="L10" s="93"/>
      <c r="M10" s="93"/>
    </row>
    <row r="11" spans="1:21" x14ac:dyDescent="0.35">
      <c r="A11" s="69"/>
      <c r="B11" s="86"/>
      <c r="C11" s="86"/>
      <c r="D11" s="86"/>
      <c r="E11" s="70"/>
      <c r="F11" s="70"/>
      <c r="G11" s="70"/>
      <c r="H11" s="71"/>
      <c r="I11" s="72"/>
      <c r="J11" s="71"/>
      <c r="K11" s="71"/>
      <c r="L11" s="93"/>
      <c r="M11" s="93"/>
    </row>
    <row r="12" spans="1:21" x14ac:dyDescent="0.35">
      <c r="A12" s="69"/>
      <c r="B12" s="86"/>
      <c r="C12" s="86"/>
      <c r="D12" s="86"/>
      <c r="E12" s="70"/>
      <c r="F12" s="70"/>
      <c r="G12" s="70"/>
      <c r="H12" s="71"/>
      <c r="I12" s="72"/>
      <c r="J12" s="71"/>
      <c r="K12" s="71"/>
      <c r="L12" s="93"/>
      <c r="M12" s="93"/>
    </row>
    <row r="13" spans="1:21" x14ac:dyDescent="0.35">
      <c r="A13" s="69"/>
      <c r="B13" s="86"/>
      <c r="C13" s="86"/>
      <c r="D13" s="86"/>
      <c r="E13" s="70"/>
      <c r="F13" s="70"/>
      <c r="G13" s="70"/>
      <c r="H13" s="71"/>
      <c r="I13" s="71"/>
      <c r="J13" s="71"/>
      <c r="K13" s="72"/>
      <c r="L13" s="93"/>
      <c r="M13" s="93"/>
    </row>
    <row r="14" spans="1:21" x14ac:dyDescent="0.35">
      <c r="A14" s="69"/>
      <c r="B14" s="86"/>
      <c r="C14" s="86"/>
      <c r="D14" s="86"/>
      <c r="E14" s="70"/>
      <c r="F14" s="70"/>
      <c r="G14" s="70"/>
      <c r="H14" s="71"/>
      <c r="I14" s="72"/>
      <c r="J14" s="71"/>
      <c r="K14" s="71"/>
      <c r="L14" s="93"/>
      <c r="M14" s="93"/>
    </row>
    <row r="15" spans="1:21" x14ac:dyDescent="0.35">
      <c r="A15" s="69"/>
      <c r="B15" s="86"/>
      <c r="C15" s="86"/>
      <c r="D15" s="86"/>
      <c r="E15" s="70"/>
      <c r="F15" s="70"/>
      <c r="G15" s="70"/>
      <c r="H15" s="71"/>
      <c r="I15" s="71"/>
      <c r="J15" s="71"/>
      <c r="K15" s="72"/>
      <c r="L15" s="91"/>
      <c r="M15" s="94"/>
      <c r="N15" s="89"/>
      <c r="O15" s="89"/>
      <c r="P15" s="89"/>
      <c r="Q15" s="89"/>
      <c r="R15" s="89"/>
      <c r="S15" s="89"/>
      <c r="T15" s="89"/>
      <c r="U15" s="89"/>
    </row>
    <row r="16" spans="1:21" x14ac:dyDescent="0.35">
      <c r="A16" s="69"/>
      <c r="B16" s="86"/>
      <c r="C16" s="86"/>
      <c r="D16" s="86"/>
      <c r="E16" s="70"/>
      <c r="F16" s="70"/>
      <c r="G16" s="70"/>
      <c r="H16" s="71"/>
      <c r="I16" s="71"/>
      <c r="J16" s="71"/>
      <c r="K16" s="72"/>
      <c r="L16" s="91"/>
      <c r="M16" s="94"/>
      <c r="N16" s="89"/>
      <c r="O16" s="89"/>
      <c r="P16" s="89"/>
      <c r="Q16" s="89"/>
      <c r="R16" s="89"/>
      <c r="S16" s="89"/>
      <c r="T16" s="89"/>
      <c r="U16" s="89"/>
    </row>
    <row r="17" spans="1:21" x14ac:dyDescent="0.35">
      <c r="A17" s="69"/>
      <c r="B17" s="86"/>
      <c r="C17" s="86"/>
      <c r="D17" s="86"/>
      <c r="E17" s="70"/>
      <c r="F17" s="70"/>
      <c r="G17" s="70"/>
      <c r="H17" s="71"/>
      <c r="I17" s="71"/>
      <c r="J17" s="71"/>
      <c r="K17" s="72"/>
      <c r="L17" s="91"/>
      <c r="M17" s="94"/>
      <c r="N17" s="89"/>
      <c r="O17" s="89"/>
      <c r="P17" s="89"/>
      <c r="Q17" s="89"/>
      <c r="R17" s="89"/>
      <c r="S17" s="89"/>
      <c r="T17" s="89"/>
      <c r="U17" s="89"/>
    </row>
    <row r="18" spans="1:21" x14ac:dyDescent="0.35">
      <c r="A18" s="69"/>
      <c r="B18" s="86"/>
      <c r="C18" s="86"/>
      <c r="D18" s="86"/>
      <c r="E18" s="70"/>
      <c r="F18" s="70"/>
      <c r="G18" s="70"/>
      <c r="H18" s="71"/>
      <c r="I18" s="71"/>
      <c r="J18" s="71"/>
      <c r="K18" s="72"/>
      <c r="L18" s="91"/>
      <c r="M18" s="94"/>
      <c r="N18" s="89"/>
      <c r="O18" s="89"/>
      <c r="P18" s="89"/>
      <c r="Q18" s="89"/>
      <c r="R18" s="89"/>
      <c r="S18" s="89"/>
      <c r="T18" s="89"/>
      <c r="U18" s="89"/>
    </row>
    <row r="19" spans="1:21" x14ac:dyDescent="0.35">
      <c r="A19" s="69"/>
      <c r="B19" s="86"/>
      <c r="C19" s="86"/>
      <c r="D19" s="86"/>
      <c r="E19" s="70"/>
      <c r="F19" s="70"/>
      <c r="G19" s="70"/>
      <c r="H19" s="71"/>
      <c r="I19" s="71"/>
      <c r="J19" s="71"/>
      <c r="K19" s="72"/>
      <c r="L19" s="91"/>
      <c r="M19" s="94"/>
      <c r="N19" s="89"/>
      <c r="O19" s="89"/>
      <c r="P19" s="89"/>
      <c r="Q19" s="89"/>
      <c r="R19" s="89"/>
      <c r="S19" s="89"/>
      <c r="T19" s="89"/>
      <c r="U19" s="89"/>
    </row>
    <row r="20" spans="1:21" x14ac:dyDescent="0.35">
      <c r="A20" s="69"/>
      <c r="B20" s="86"/>
      <c r="C20" s="86"/>
      <c r="D20" s="86"/>
      <c r="E20" s="70"/>
      <c r="F20" s="70"/>
      <c r="G20" s="70"/>
      <c r="H20" s="71"/>
      <c r="I20" s="71"/>
      <c r="J20" s="71"/>
      <c r="K20" s="72"/>
    </row>
    <row r="21" spans="1:21" x14ac:dyDescent="0.35">
      <c r="A21" s="69"/>
      <c r="B21" s="86"/>
      <c r="C21" s="86"/>
      <c r="D21" s="86"/>
      <c r="E21" s="70"/>
      <c r="F21" s="70"/>
      <c r="G21" s="70"/>
      <c r="H21" s="71"/>
      <c r="I21" s="71"/>
      <c r="J21" s="71"/>
      <c r="K21" s="72"/>
    </row>
    <row r="22" spans="1:21" x14ac:dyDescent="0.35">
      <c r="A22" s="69"/>
      <c r="B22" s="86"/>
      <c r="C22" s="86"/>
      <c r="D22" s="86"/>
      <c r="E22" s="70"/>
      <c r="F22" s="70"/>
      <c r="G22" s="70"/>
      <c r="H22" s="71"/>
      <c r="I22" s="71"/>
      <c r="J22" s="71"/>
      <c r="K22" s="72"/>
    </row>
    <row r="23" spans="1:21" x14ac:dyDescent="0.35">
      <c r="A23" s="69"/>
      <c r="B23" s="86"/>
      <c r="C23" s="86"/>
      <c r="D23" s="86"/>
      <c r="E23" s="70"/>
      <c r="F23" s="70"/>
      <c r="G23" s="70"/>
      <c r="H23" s="72"/>
      <c r="I23" s="71"/>
      <c r="J23" s="71"/>
      <c r="K23" s="72"/>
    </row>
    <row r="24" spans="1:21" x14ac:dyDescent="0.35">
      <c r="A24" s="69"/>
      <c r="B24" s="86"/>
      <c r="C24" s="86"/>
      <c r="D24" s="86"/>
      <c r="E24" s="70"/>
      <c r="F24" s="70"/>
      <c r="G24" s="70"/>
      <c r="H24" s="71"/>
      <c r="I24" s="71"/>
      <c r="J24" s="71"/>
      <c r="K24" s="72"/>
    </row>
    <row r="25" spans="1:21" x14ac:dyDescent="0.35">
      <c r="A25" s="69"/>
      <c r="B25" s="86"/>
      <c r="C25" s="86"/>
      <c r="D25" s="86"/>
      <c r="E25" s="70"/>
      <c r="F25" s="70"/>
      <c r="G25" s="70"/>
      <c r="H25" s="71"/>
      <c r="I25" s="72"/>
      <c r="J25" s="71"/>
      <c r="K25" s="72"/>
    </row>
    <row r="26" spans="1:21" x14ac:dyDescent="0.35">
      <c r="A26" s="69"/>
      <c r="B26" s="86"/>
      <c r="C26" s="86"/>
      <c r="D26" s="86"/>
      <c r="E26" s="70"/>
      <c r="F26" s="70"/>
      <c r="G26" s="70"/>
      <c r="H26" s="72"/>
      <c r="I26" s="72"/>
      <c r="J26" s="72"/>
      <c r="K26" s="72"/>
    </row>
    <row r="27" spans="1:21" x14ac:dyDescent="0.35">
      <c r="A27" s="69"/>
      <c r="B27" s="86"/>
      <c r="C27" s="86"/>
      <c r="D27" s="86"/>
      <c r="E27" s="70"/>
      <c r="F27" s="70"/>
      <c r="G27" s="70"/>
      <c r="H27" s="71"/>
      <c r="I27" s="71"/>
      <c r="K27" s="72"/>
    </row>
    <row r="28" spans="1:21" x14ac:dyDescent="0.35">
      <c r="A28" s="69"/>
      <c r="B28" s="86"/>
      <c r="C28" s="86"/>
      <c r="D28" s="86"/>
      <c r="E28" s="70"/>
      <c r="F28" s="70"/>
      <c r="G28" s="70"/>
      <c r="H28" s="72"/>
      <c r="I28" s="71"/>
      <c r="J28" s="71"/>
      <c r="K28" s="71"/>
    </row>
    <row r="29" spans="1:21" x14ac:dyDescent="0.35">
      <c r="A29" s="69"/>
      <c r="B29" s="86"/>
      <c r="C29" s="86"/>
      <c r="D29" s="86"/>
      <c r="E29" s="70"/>
      <c r="F29" s="70"/>
      <c r="G29" s="70"/>
      <c r="H29" s="71"/>
      <c r="I29" s="72"/>
      <c r="J29" s="71"/>
      <c r="K29" s="71"/>
    </row>
    <row r="30" spans="1:21" x14ac:dyDescent="0.35">
      <c r="A30" s="69"/>
      <c r="B30" s="86"/>
      <c r="C30" s="86"/>
      <c r="D30" s="86"/>
      <c r="E30" s="70"/>
      <c r="F30" s="70"/>
      <c r="G30" s="70"/>
      <c r="H30" s="71"/>
      <c r="I30" s="72"/>
      <c r="J30" s="71"/>
      <c r="K30" s="71"/>
    </row>
    <row r="31" spans="1:21" x14ac:dyDescent="0.35">
      <c r="A31" s="69"/>
      <c r="B31" s="86"/>
      <c r="C31" s="86"/>
      <c r="D31" s="86"/>
      <c r="E31" s="70"/>
      <c r="F31" s="70"/>
      <c r="G31" s="70"/>
      <c r="H31" s="71"/>
      <c r="I31" s="71"/>
      <c r="J31" s="71"/>
      <c r="K31" s="72"/>
    </row>
    <row r="32" spans="1:21" x14ac:dyDescent="0.35">
      <c r="A32" s="69"/>
      <c r="B32" s="86"/>
      <c r="C32" s="86"/>
      <c r="D32" s="86"/>
      <c r="E32" s="70"/>
      <c r="F32" s="70"/>
      <c r="G32" s="70"/>
      <c r="H32" s="71"/>
      <c r="I32" s="72"/>
      <c r="J32" s="71"/>
      <c r="K32" s="71"/>
    </row>
    <row r="33" spans="1:11" x14ac:dyDescent="0.35">
      <c r="A33" s="69"/>
      <c r="B33" s="86"/>
      <c r="C33" s="86"/>
      <c r="D33" s="86"/>
      <c r="E33" s="70"/>
      <c r="F33" s="70"/>
      <c r="G33" s="70"/>
      <c r="H33" s="71"/>
      <c r="I33" s="71"/>
      <c r="J33" s="71"/>
      <c r="K33" s="72"/>
    </row>
    <row r="34" spans="1:11" x14ac:dyDescent="0.35">
      <c r="A34" s="69"/>
      <c r="B34" s="86"/>
      <c r="C34" s="86"/>
      <c r="D34" s="86"/>
      <c r="E34" s="70"/>
      <c r="F34" s="70"/>
      <c r="G34" s="70"/>
      <c r="H34" s="71"/>
      <c r="I34" s="71"/>
      <c r="J34" s="71"/>
      <c r="K34" s="72"/>
    </row>
    <row r="35" spans="1:11" x14ac:dyDescent="0.35">
      <c r="A35" s="69"/>
      <c r="B35" s="86"/>
      <c r="C35" s="86"/>
      <c r="D35" s="86"/>
      <c r="E35" s="70"/>
      <c r="F35" s="70"/>
      <c r="G35" s="70"/>
      <c r="H35" s="71"/>
      <c r="I35" s="71"/>
      <c r="J35" s="71"/>
      <c r="K35" s="72"/>
    </row>
    <row r="36" spans="1:11" x14ac:dyDescent="0.35">
      <c r="A36" s="69"/>
      <c r="B36" s="86"/>
      <c r="C36" s="86"/>
      <c r="D36" s="86"/>
      <c r="E36" s="70"/>
      <c r="F36" s="70"/>
      <c r="G36" s="70"/>
      <c r="H36" s="71"/>
      <c r="I36" s="71"/>
      <c r="J36" s="71"/>
      <c r="K36" s="72"/>
    </row>
    <row r="37" spans="1:11" x14ac:dyDescent="0.35">
      <c r="A37" s="69"/>
      <c r="B37" s="86"/>
      <c r="C37" s="86"/>
      <c r="D37" s="86"/>
      <c r="E37" s="70"/>
      <c r="F37" s="70"/>
      <c r="G37" s="70"/>
      <c r="H37" s="71"/>
      <c r="I37" s="71"/>
      <c r="J37" s="71"/>
      <c r="K37" s="72"/>
    </row>
    <row r="38" spans="1:11" x14ac:dyDescent="0.35">
      <c r="A38" s="69"/>
      <c r="B38" s="86"/>
      <c r="C38" s="86"/>
      <c r="D38" s="86"/>
      <c r="E38" s="70"/>
      <c r="F38" s="70"/>
      <c r="G38" s="70"/>
      <c r="H38" s="71"/>
      <c r="I38" s="71"/>
      <c r="J38" s="71"/>
      <c r="K38" s="72"/>
    </row>
    <row r="39" spans="1:11" x14ac:dyDescent="0.35">
      <c r="A39" s="69"/>
      <c r="B39" s="86"/>
      <c r="C39" s="86"/>
      <c r="D39" s="86"/>
      <c r="E39" s="70"/>
      <c r="F39" s="70"/>
      <c r="G39" s="70"/>
      <c r="H39" s="71"/>
      <c r="I39" s="71"/>
      <c r="J39" s="71"/>
      <c r="K39" s="72"/>
    </row>
    <row r="40" spans="1:11" x14ac:dyDescent="0.35">
      <c r="A40" s="69"/>
      <c r="B40" s="86"/>
      <c r="C40" s="86"/>
      <c r="D40" s="86"/>
      <c r="E40" s="70"/>
      <c r="F40" s="70"/>
      <c r="G40" s="70"/>
      <c r="H40" s="71"/>
      <c r="I40" s="71"/>
      <c r="J40" s="71"/>
      <c r="K40" s="72"/>
    </row>
    <row r="41" spans="1:11" x14ac:dyDescent="0.35">
      <c r="A41" s="69"/>
      <c r="B41" s="86"/>
      <c r="C41" s="86"/>
      <c r="D41" s="86"/>
      <c r="E41" s="70"/>
      <c r="F41" s="70"/>
      <c r="G41" s="70"/>
      <c r="H41" s="72"/>
      <c r="I41" s="71"/>
      <c r="J41" s="71"/>
      <c r="K41" s="72"/>
    </row>
    <row r="42" spans="1:11" x14ac:dyDescent="0.35">
      <c r="A42" s="69"/>
      <c r="B42" s="86"/>
      <c r="C42" s="86"/>
      <c r="D42" s="86"/>
      <c r="E42" s="70"/>
      <c r="F42" s="70"/>
      <c r="G42" s="70"/>
      <c r="H42" s="71"/>
      <c r="I42" s="71"/>
      <c r="J42" s="71"/>
      <c r="K42" s="72"/>
    </row>
    <row r="43" spans="1:11" x14ac:dyDescent="0.35">
      <c r="A43" s="69"/>
      <c r="B43" s="86"/>
      <c r="C43" s="86"/>
      <c r="D43" s="86"/>
      <c r="E43" s="70"/>
      <c r="F43" s="70"/>
      <c r="G43" s="70"/>
      <c r="H43" s="71"/>
      <c r="I43" s="72"/>
      <c r="J43" s="71"/>
      <c r="K43" s="72"/>
    </row>
    <row r="44" spans="1:11" x14ac:dyDescent="0.35">
      <c r="A44" s="69"/>
      <c r="B44" s="86"/>
      <c r="C44" s="86"/>
      <c r="D44" s="86"/>
      <c r="E44" s="70"/>
      <c r="F44" s="70"/>
      <c r="G44" s="70"/>
      <c r="H44" s="72"/>
      <c r="I44" s="72"/>
      <c r="J44" s="72"/>
      <c r="K44" s="72"/>
    </row>
    <row r="45" spans="1:11" x14ac:dyDescent="0.35">
      <c r="A45" s="69"/>
      <c r="B45" s="86"/>
      <c r="C45" s="86"/>
      <c r="D45" s="86"/>
      <c r="E45" s="70"/>
      <c r="F45" s="70"/>
      <c r="G45" s="70"/>
      <c r="H45" s="71"/>
      <c r="I45" s="71"/>
      <c r="K45" s="72"/>
    </row>
    <row r="46" spans="1:11" x14ac:dyDescent="0.35">
      <c r="A46" s="69"/>
      <c r="B46" s="86"/>
      <c r="C46" s="86"/>
      <c r="D46" s="86"/>
      <c r="E46" s="70"/>
      <c r="F46" s="70"/>
      <c r="G46" s="70"/>
      <c r="H46" s="72"/>
      <c r="I46" s="71"/>
      <c r="J46" s="71"/>
      <c r="K46" s="71"/>
    </row>
    <row r="47" spans="1:11" x14ac:dyDescent="0.35">
      <c r="A47" s="69"/>
      <c r="B47" s="86"/>
      <c r="C47" s="86"/>
      <c r="D47" s="86"/>
      <c r="E47" s="70"/>
      <c r="F47" s="70"/>
      <c r="G47" s="70"/>
      <c r="H47" s="71"/>
      <c r="I47" s="72"/>
      <c r="J47" s="71"/>
      <c r="K47" s="71"/>
    </row>
    <row r="48" spans="1:11" x14ac:dyDescent="0.35">
      <c r="A48" s="69"/>
      <c r="B48" s="86"/>
      <c r="C48" s="86"/>
      <c r="D48" s="86"/>
      <c r="E48" s="70"/>
      <c r="F48" s="70"/>
      <c r="G48" s="70"/>
      <c r="H48" s="71"/>
      <c r="I48" s="72"/>
      <c r="J48" s="71"/>
      <c r="K48" s="71"/>
    </row>
    <row r="49" spans="1:11" x14ac:dyDescent="0.35">
      <c r="A49" s="69"/>
      <c r="B49" s="86"/>
      <c r="C49" s="86"/>
      <c r="D49" s="86"/>
      <c r="E49" s="70"/>
      <c r="F49" s="70"/>
      <c r="G49" s="70"/>
      <c r="H49" s="71"/>
      <c r="I49" s="71"/>
      <c r="J49" s="71"/>
      <c r="K49" s="72"/>
    </row>
    <row r="50" spans="1:11" x14ac:dyDescent="0.35">
      <c r="A50" s="69"/>
      <c r="B50" s="86"/>
      <c r="C50" s="86"/>
      <c r="D50" s="86"/>
      <c r="E50" s="70"/>
      <c r="F50" s="70"/>
      <c r="G50" s="70"/>
      <c r="H50" s="71"/>
      <c r="I50" s="72"/>
      <c r="J50" s="71"/>
      <c r="K50" s="71"/>
    </row>
    <row r="51" spans="1:11" x14ac:dyDescent="0.35">
      <c r="A51" s="69"/>
      <c r="B51" s="86"/>
      <c r="C51" s="86"/>
      <c r="D51" s="86"/>
      <c r="E51" s="70"/>
      <c r="F51" s="70"/>
      <c r="G51" s="70"/>
      <c r="H51" s="71"/>
      <c r="I51" s="71"/>
      <c r="J51" s="71"/>
      <c r="K51" s="72"/>
    </row>
    <row r="52" spans="1:11" x14ac:dyDescent="0.35">
      <c r="A52" s="69"/>
      <c r="B52" s="86"/>
      <c r="C52" s="86"/>
      <c r="D52" s="86"/>
      <c r="E52" s="70"/>
      <c r="F52" s="70"/>
      <c r="G52" s="70"/>
      <c r="H52" s="71"/>
      <c r="I52" s="71"/>
      <c r="J52" s="71"/>
      <c r="K52" s="72"/>
    </row>
    <row r="53" spans="1:11" x14ac:dyDescent="0.35">
      <c r="A53" s="69"/>
      <c r="B53" s="86"/>
      <c r="C53" s="86"/>
      <c r="D53" s="86"/>
      <c r="E53" s="70"/>
      <c r="F53" s="70"/>
      <c r="G53" s="70"/>
      <c r="H53" s="71"/>
      <c r="I53" s="71"/>
      <c r="J53" s="71"/>
      <c r="K53" s="72"/>
    </row>
    <row r="54" spans="1:11" x14ac:dyDescent="0.35">
      <c r="A54" s="69"/>
      <c r="B54" s="86"/>
      <c r="C54" s="86"/>
      <c r="D54" s="86"/>
      <c r="E54" s="70"/>
      <c r="F54" s="70"/>
      <c r="G54" s="70"/>
      <c r="H54" s="71"/>
      <c r="I54" s="71"/>
      <c r="J54" s="71"/>
      <c r="K54" s="72"/>
    </row>
    <row r="55" spans="1:11" x14ac:dyDescent="0.35">
      <c r="A55" s="69"/>
      <c r="B55" s="86"/>
      <c r="C55" s="86"/>
      <c r="D55" s="86"/>
      <c r="E55" s="70"/>
      <c r="F55" s="70"/>
      <c r="G55" s="70"/>
      <c r="H55" s="71"/>
      <c r="I55" s="71"/>
      <c r="J55" s="71"/>
      <c r="K55" s="72"/>
    </row>
    <row r="56" spans="1:11" x14ac:dyDescent="0.35">
      <c r="A56" s="69"/>
      <c r="B56" s="86"/>
      <c r="C56" s="86"/>
      <c r="D56" s="86"/>
      <c r="E56" s="70"/>
      <c r="F56" s="70"/>
      <c r="G56" s="70"/>
      <c r="H56" s="71"/>
      <c r="I56" s="71"/>
      <c r="J56" s="71"/>
      <c r="K56" s="72"/>
    </row>
    <row r="57" spans="1:11" x14ac:dyDescent="0.35">
      <c r="A57" s="69"/>
      <c r="B57" s="86"/>
      <c r="C57" s="86"/>
      <c r="D57" s="86"/>
      <c r="E57" s="70"/>
      <c r="F57" s="70"/>
      <c r="G57" s="70"/>
      <c r="H57" s="71"/>
      <c r="I57" s="71"/>
      <c r="J57" s="71"/>
      <c r="K57" s="72"/>
    </row>
    <row r="58" spans="1:11" x14ac:dyDescent="0.35">
      <c r="A58" s="69"/>
      <c r="B58" s="86"/>
      <c r="C58" s="86"/>
      <c r="D58" s="86"/>
      <c r="E58" s="70"/>
      <c r="F58" s="70"/>
      <c r="G58" s="70"/>
      <c r="H58" s="71"/>
      <c r="I58" s="71"/>
      <c r="J58" s="71"/>
      <c r="K58" s="72"/>
    </row>
    <row r="59" spans="1:11" x14ac:dyDescent="0.35">
      <c r="A59" s="69"/>
      <c r="B59" s="86"/>
      <c r="C59" s="86"/>
      <c r="D59" s="86"/>
      <c r="E59" s="70"/>
      <c r="F59" s="70"/>
      <c r="G59" s="70"/>
      <c r="H59" s="72"/>
      <c r="I59" s="71"/>
      <c r="J59" s="71"/>
      <c r="K59" s="72"/>
    </row>
    <row r="60" spans="1:11" x14ac:dyDescent="0.35">
      <c r="A60" s="69"/>
      <c r="B60" s="86"/>
      <c r="C60" s="86"/>
      <c r="D60" s="86"/>
      <c r="E60" s="70"/>
      <c r="F60" s="70"/>
      <c r="G60" s="70"/>
      <c r="H60" s="71"/>
      <c r="I60" s="71"/>
      <c r="J60" s="71"/>
      <c r="K60" s="72"/>
    </row>
    <row r="61" spans="1:11" x14ac:dyDescent="0.35">
      <c r="A61" s="69"/>
      <c r="B61" s="86"/>
      <c r="C61" s="86"/>
      <c r="D61" s="86"/>
      <c r="E61" s="70"/>
      <c r="F61" s="70"/>
      <c r="G61" s="70"/>
      <c r="H61" s="71"/>
      <c r="I61" s="72"/>
      <c r="J61" s="71"/>
      <c r="K61" s="72"/>
    </row>
    <row r="62" spans="1:11" x14ac:dyDescent="0.35">
      <c r="A62" s="69"/>
      <c r="B62" s="86"/>
      <c r="C62" s="86"/>
      <c r="D62" s="86"/>
      <c r="E62" s="70"/>
      <c r="F62" s="70"/>
      <c r="G62" s="70"/>
      <c r="H62" s="72"/>
      <c r="I62" s="72"/>
      <c r="J62" s="72"/>
      <c r="K62" s="72"/>
    </row>
    <row r="63" spans="1:11" x14ac:dyDescent="0.35">
      <c r="A63" s="69"/>
      <c r="B63" s="86"/>
      <c r="C63" s="86"/>
      <c r="D63" s="86"/>
      <c r="E63" s="70"/>
      <c r="F63" s="70"/>
      <c r="G63" s="70"/>
      <c r="H63" s="71"/>
      <c r="I63" s="71"/>
      <c r="K63" s="72"/>
    </row>
    <row r="64" spans="1:11" x14ac:dyDescent="0.35">
      <c r="A64" s="69"/>
      <c r="B64" s="86"/>
      <c r="C64" s="86"/>
      <c r="D64" s="86"/>
      <c r="E64" s="70"/>
      <c r="F64" s="70"/>
      <c r="G64" s="70"/>
      <c r="H64" s="72"/>
      <c r="I64" s="71"/>
      <c r="J64" s="71"/>
      <c r="K64" s="71"/>
    </row>
    <row r="65" spans="1:11" x14ac:dyDescent="0.35">
      <c r="A65" s="69"/>
      <c r="B65" s="86"/>
      <c r="C65" s="86"/>
      <c r="D65" s="86"/>
      <c r="E65" s="70"/>
      <c r="F65" s="70"/>
      <c r="G65" s="70"/>
      <c r="H65" s="71"/>
      <c r="I65" s="72"/>
      <c r="J65" s="71"/>
      <c r="K65" s="71"/>
    </row>
    <row r="66" spans="1:11" x14ac:dyDescent="0.35">
      <c r="A66" s="69"/>
      <c r="B66" s="86"/>
      <c r="C66" s="86"/>
      <c r="D66" s="86"/>
      <c r="E66" s="70"/>
      <c r="F66" s="70"/>
      <c r="G66" s="70"/>
      <c r="H66" s="71"/>
      <c r="I66" s="72"/>
      <c r="J66" s="71"/>
      <c r="K66" s="71"/>
    </row>
    <row r="67" spans="1:11" x14ac:dyDescent="0.35">
      <c r="A67" s="69"/>
      <c r="B67" s="86"/>
      <c r="C67" s="86"/>
      <c r="D67" s="86"/>
      <c r="E67" s="70"/>
      <c r="F67" s="70"/>
      <c r="G67" s="70"/>
      <c r="H67" s="71"/>
      <c r="I67" s="71"/>
      <c r="J67" s="71"/>
      <c r="K67" s="72"/>
    </row>
    <row r="68" spans="1:11" x14ac:dyDescent="0.35">
      <c r="A68" s="69"/>
      <c r="B68" s="86"/>
      <c r="C68" s="86"/>
      <c r="D68" s="86"/>
      <c r="E68" s="70"/>
      <c r="F68" s="70"/>
      <c r="G68" s="70"/>
      <c r="H68" s="71"/>
      <c r="I68" s="72"/>
      <c r="J68" s="71"/>
      <c r="K68" s="71"/>
    </row>
    <row r="69" spans="1:11" x14ac:dyDescent="0.35">
      <c r="A69" s="69"/>
      <c r="B69" s="86"/>
      <c r="C69" s="86"/>
      <c r="D69" s="86"/>
      <c r="E69" s="70"/>
      <c r="F69" s="70"/>
      <c r="G69" s="70"/>
      <c r="H69" s="71"/>
      <c r="I69" s="71"/>
      <c r="J69" s="71"/>
      <c r="K69" s="72"/>
    </row>
    <row r="70" spans="1:11" x14ac:dyDescent="0.35">
      <c r="A70" s="69"/>
      <c r="B70" s="86"/>
      <c r="C70" s="86"/>
      <c r="D70" s="86"/>
      <c r="E70" s="70"/>
      <c r="F70" s="70"/>
      <c r="G70" s="70"/>
      <c r="H70" s="71"/>
      <c r="I70" s="71"/>
      <c r="J70" s="71"/>
      <c r="K70" s="72"/>
    </row>
    <row r="71" spans="1:11" x14ac:dyDescent="0.35">
      <c r="A71" s="69"/>
      <c r="B71" s="86"/>
      <c r="C71" s="86"/>
      <c r="D71" s="86"/>
      <c r="E71" s="70"/>
      <c r="F71" s="70"/>
      <c r="G71" s="70"/>
      <c r="H71" s="71"/>
      <c r="I71" s="71"/>
      <c r="J71" s="71"/>
      <c r="K71" s="72"/>
    </row>
    <row r="72" spans="1:11" x14ac:dyDescent="0.35">
      <c r="A72" s="69"/>
      <c r="B72" s="86"/>
      <c r="C72" s="86"/>
      <c r="D72" s="86"/>
      <c r="E72" s="70"/>
      <c r="F72" s="70"/>
      <c r="G72" s="70"/>
      <c r="H72" s="71"/>
      <c r="I72" s="71"/>
      <c r="J72" s="71"/>
      <c r="K72" s="72"/>
    </row>
    <row r="73" spans="1:11" x14ac:dyDescent="0.35">
      <c r="A73" s="69"/>
      <c r="B73" s="86"/>
      <c r="C73" s="86"/>
      <c r="D73" s="86"/>
      <c r="E73" s="70"/>
      <c r="F73" s="70"/>
      <c r="G73" s="70"/>
      <c r="H73" s="71"/>
      <c r="I73" s="71"/>
      <c r="J73" s="71"/>
      <c r="K73" s="72"/>
    </row>
    <row r="74" spans="1:11" x14ac:dyDescent="0.35">
      <c r="A74" s="69"/>
      <c r="B74" s="86"/>
      <c r="C74" s="86"/>
      <c r="D74" s="86"/>
      <c r="E74" s="70"/>
      <c r="F74" s="70"/>
      <c r="G74" s="70"/>
      <c r="H74" s="71"/>
      <c r="I74" s="71"/>
      <c r="J74" s="71"/>
      <c r="K74" s="72"/>
    </row>
    <row r="75" spans="1:11" x14ac:dyDescent="0.35">
      <c r="A75" s="69"/>
      <c r="B75" s="86"/>
      <c r="C75" s="86"/>
      <c r="D75" s="86"/>
      <c r="E75" s="70"/>
      <c r="F75" s="70"/>
      <c r="G75" s="70"/>
      <c r="H75" s="71"/>
      <c r="I75" s="71"/>
      <c r="J75" s="71"/>
      <c r="K75" s="72"/>
    </row>
    <row r="76" spans="1:11" x14ac:dyDescent="0.35">
      <c r="A76" s="69"/>
      <c r="B76" s="86"/>
      <c r="C76" s="86"/>
      <c r="D76" s="86"/>
      <c r="E76" s="70"/>
      <c r="F76" s="70"/>
      <c r="G76" s="70"/>
      <c r="H76" s="71"/>
      <c r="I76" s="71"/>
      <c r="J76" s="71"/>
      <c r="K76" s="72"/>
    </row>
    <row r="77" spans="1:11" x14ac:dyDescent="0.35">
      <c r="A77" s="69"/>
      <c r="B77" s="86"/>
      <c r="C77" s="86"/>
      <c r="D77" s="86"/>
      <c r="E77" s="70"/>
      <c r="F77" s="70"/>
      <c r="G77" s="70"/>
      <c r="H77" s="72"/>
      <c r="I77" s="71"/>
      <c r="J77" s="71"/>
      <c r="K77" s="72"/>
    </row>
    <row r="78" spans="1:11" x14ac:dyDescent="0.35">
      <c r="A78" s="69"/>
      <c r="B78" s="86"/>
      <c r="C78" s="86"/>
      <c r="D78" s="86"/>
      <c r="E78" s="70"/>
      <c r="F78" s="70"/>
      <c r="G78" s="70"/>
      <c r="H78" s="71"/>
      <c r="I78" s="71"/>
      <c r="J78" s="71"/>
      <c r="K78" s="72"/>
    </row>
    <row r="79" spans="1:11" x14ac:dyDescent="0.35">
      <c r="A79" s="69"/>
      <c r="B79" s="86"/>
      <c r="C79" s="86"/>
      <c r="D79" s="86"/>
      <c r="E79" s="70"/>
      <c r="F79" s="70"/>
      <c r="G79" s="70"/>
      <c r="H79" s="71"/>
      <c r="I79" s="72"/>
      <c r="J79" s="71"/>
      <c r="K79" s="72"/>
    </row>
    <row r="80" spans="1:11" x14ac:dyDescent="0.35">
      <c r="A80" s="69"/>
      <c r="B80" s="86"/>
      <c r="C80" s="86"/>
      <c r="D80" s="86"/>
      <c r="E80" s="70"/>
      <c r="F80" s="70"/>
      <c r="G80" s="70"/>
      <c r="H80" s="72"/>
      <c r="I80" s="72"/>
      <c r="J80" s="72"/>
      <c r="K80" s="72"/>
    </row>
    <row r="81" spans="1:11" x14ac:dyDescent="0.35">
      <c r="A81" s="69"/>
      <c r="B81" s="86"/>
      <c r="C81" s="86"/>
      <c r="D81" s="86"/>
      <c r="E81" s="70"/>
      <c r="F81" s="70"/>
      <c r="G81" s="70"/>
      <c r="H81" s="71"/>
      <c r="I81" s="71"/>
      <c r="K81" s="72"/>
    </row>
    <row r="82" spans="1:11" x14ac:dyDescent="0.35">
      <c r="A82" s="69"/>
      <c r="B82" s="86"/>
      <c r="C82" s="86"/>
      <c r="D82" s="86"/>
      <c r="E82" s="70"/>
      <c r="F82" s="70"/>
      <c r="G82" s="70"/>
      <c r="H82" s="72"/>
      <c r="I82" s="71"/>
      <c r="J82" s="71"/>
      <c r="K82" s="71"/>
    </row>
    <row r="83" spans="1:11" x14ac:dyDescent="0.35">
      <c r="A83" s="69"/>
      <c r="B83" s="86"/>
      <c r="C83" s="86"/>
      <c r="D83" s="86"/>
      <c r="E83" s="70"/>
      <c r="F83" s="70"/>
      <c r="G83" s="70"/>
      <c r="H83" s="71"/>
      <c r="I83" s="72"/>
      <c r="J83" s="71"/>
      <c r="K83" s="71"/>
    </row>
    <row r="84" spans="1:11" x14ac:dyDescent="0.35">
      <c r="A84" s="69"/>
      <c r="B84" s="86"/>
      <c r="C84" s="86"/>
      <c r="D84" s="86"/>
      <c r="E84" s="70"/>
      <c r="F84" s="70"/>
      <c r="G84" s="70"/>
      <c r="H84" s="71"/>
      <c r="I84" s="72"/>
      <c r="J84" s="71"/>
      <c r="K84" s="71"/>
    </row>
    <row r="85" spans="1:11" x14ac:dyDescent="0.35">
      <c r="A85" s="69"/>
      <c r="B85" s="86"/>
      <c r="C85" s="86"/>
      <c r="D85" s="86"/>
      <c r="E85" s="70"/>
      <c r="F85" s="70"/>
      <c r="G85" s="70"/>
      <c r="H85" s="71"/>
      <c r="I85" s="71"/>
      <c r="J85" s="71"/>
      <c r="K85" s="72"/>
    </row>
    <row r="86" spans="1:11" x14ac:dyDescent="0.35">
      <c r="A86" s="69"/>
      <c r="B86" s="86"/>
      <c r="C86" s="86"/>
      <c r="D86" s="86"/>
      <c r="E86" s="70"/>
      <c r="F86" s="70"/>
      <c r="G86" s="70"/>
      <c r="H86" s="71"/>
      <c r="I86" s="72"/>
      <c r="J86" s="71"/>
      <c r="K86" s="71"/>
    </row>
    <row r="87" spans="1:11" x14ac:dyDescent="0.35">
      <c r="A87" s="69"/>
      <c r="B87" s="86"/>
      <c r="C87" s="86"/>
      <c r="D87" s="86"/>
      <c r="E87" s="70"/>
      <c r="F87" s="70"/>
      <c r="G87" s="70"/>
      <c r="H87" s="71"/>
      <c r="I87" s="71"/>
      <c r="J87" s="71"/>
      <c r="K87" s="72"/>
    </row>
    <row r="88" spans="1:11" x14ac:dyDescent="0.35">
      <c r="A88" s="69"/>
      <c r="B88" s="86"/>
      <c r="C88" s="86"/>
      <c r="D88" s="86"/>
      <c r="E88" s="70"/>
      <c r="F88" s="70"/>
      <c r="G88" s="70"/>
      <c r="H88" s="71"/>
      <c r="I88" s="71"/>
      <c r="J88" s="71"/>
      <c r="K88" s="72"/>
    </row>
    <row r="89" spans="1:11" x14ac:dyDescent="0.35">
      <c r="A89" s="69"/>
      <c r="B89" s="86"/>
      <c r="C89" s="86"/>
      <c r="D89" s="86"/>
      <c r="E89" s="70"/>
      <c r="F89" s="70"/>
      <c r="G89" s="70"/>
      <c r="H89" s="71"/>
      <c r="I89" s="71"/>
      <c r="J89" s="71"/>
      <c r="K89" s="72"/>
    </row>
    <row r="90" spans="1:11" x14ac:dyDescent="0.35">
      <c r="A90" s="69"/>
      <c r="B90" s="86"/>
      <c r="C90" s="86"/>
      <c r="D90" s="86"/>
      <c r="E90" s="70"/>
      <c r="F90" s="70"/>
      <c r="G90" s="70"/>
      <c r="H90" s="71"/>
      <c r="I90" s="71"/>
      <c r="J90" s="71"/>
      <c r="K90" s="72"/>
    </row>
    <row r="91" spans="1:11" x14ac:dyDescent="0.35">
      <c r="A91" s="69"/>
      <c r="B91" s="86"/>
      <c r="C91" s="86"/>
      <c r="D91" s="86"/>
      <c r="E91" s="70"/>
      <c r="F91" s="70"/>
      <c r="G91" s="70"/>
      <c r="H91" s="71"/>
      <c r="I91" s="71"/>
      <c r="J91" s="71"/>
      <c r="K91" s="72"/>
    </row>
    <row r="92" spans="1:11" x14ac:dyDescent="0.35">
      <c r="A92" s="69"/>
      <c r="B92" s="86"/>
      <c r="C92" s="86"/>
      <c r="D92" s="86"/>
      <c r="E92" s="70"/>
      <c r="F92" s="70"/>
      <c r="G92" s="70"/>
      <c r="H92" s="71"/>
      <c r="I92" s="71"/>
      <c r="J92" s="71"/>
      <c r="K92" s="72"/>
    </row>
    <row r="93" spans="1:11" x14ac:dyDescent="0.35">
      <c r="A93" s="69"/>
      <c r="B93" s="86"/>
      <c r="C93" s="86"/>
      <c r="D93" s="86"/>
      <c r="E93" s="70"/>
      <c r="F93" s="70"/>
      <c r="G93" s="70"/>
      <c r="H93" s="71"/>
      <c r="I93" s="71"/>
      <c r="J93" s="71"/>
      <c r="K93" s="72"/>
    </row>
    <row r="94" spans="1:11" x14ac:dyDescent="0.35">
      <c r="A94" s="69"/>
      <c r="B94" s="86"/>
      <c r="C94" s="86"/>
      <c r="D94" s="86"/>
      <c r="E94" s="70"/>
      <c r="F94" s="70"/>
      <c r="G94" s="70"/>
      <c r="H94" s="71"/>
      <c r="I94" s="71"/>
      <c r="J94" s="71"/>
      <c r="K94" s="72"/>
    </row>
    <row r="95" spans="1:11" x14ac:dyDescent="0.35">
      <c r="A95" s="69"/>
      <c r="B95" s="86"/>
      <c r="C95" s="86"/>
      <c r="D95" s="86"/>
      <c r="E95" s="70"/>
      <c r="F95" s="70"/>
      <c r="G95" s="70"/>
      <c r="H95" s="72"/>
      <c r="I95" s="71"/>
      <c r="J95" s="71"/>
      <c r="K95" s="72"/>
    </row>
    <row r="96" spans="1:11" x14ac:dyDescent="0.35">
      <c r="A96" s="69"/>
      <c r="B96" s="86"/>
      <c r="C96" s="86"/>
      <c r="D96" s="86"/>
      <c r="E96" s="70"/>
      <c r="F96" s="70"/>
      <c r="G96" s="70"/>
      <c r="H96" s="71"/>
      <c r="I96" s="71"/>
      <c r="J96" s="71"/>
      <c r="K96" s="72"/>
    </row>
    <row r="97" spans="1:11" x14ac:dyDescent="0.35">
      <c r="A97" s="69"/>
      <c r="B97" s="86"/>
      <c r="C97" s="86"/>
      <c r="D97" s="86"/>
      <c r="E97" s="70"/>
      <c r="F97" s="70"/>
      <c r="G97" s="70"/>
      <c r="H97" s="71"/>
      <c r="I97" s="72"/>
      <c r="J97" s="71"/>
      <c r="K97" s="72"/>
    </row>
    <row r="98" spans="1:11" x14ac:dyDescent="0.35">
      <c r="A98" s="69"/>
      <c r="B98" s="86"/>
      <c r="C98" s="86"/>
      <c r="D98" s="86"/>
      <c r="E98" s="70"/>
      <c r="F98" s="70"/>
      <c r="G98" s="70"/>
      <c r="H98" s="72"/>
      <c r="I98" s="72"/>
      <c r="J98" s="72"/>
      <c r="K98" s="72"/>
    </row>
    <row r="99" spans="1:11" x14ac:dyDescent="0.35">
      <c r="A99" s="69"/>
      <c r="B99" s="86"/>
      <c r="C99" s="86"/>
      <c r="D99" s="86"/>
      <c r="E99" s="70"/>
      <c r="F99" s="70"/>
      <c r="G99" s="70"/>
      <c r="H99" s="71"/>
      <c r="I99" s="71"/>
      <c r="K99" s="72"/>
    </row>
    <row r="100" spans="1:11" x14ac:dyDescent="0.35">
      <c r="A100" s="69"/>
      <c r="B100" s="86"/>
      <c r="C100" s="86"/>
      <c r="D100" s="86"/>
      <c r="E100" s="70"/>
      <c r="F100" s="70"/>
      <c r="G100" s="70"/>
      <c r="H100" s="72"/>
      <c r="I100" s="71"/>
      <c r="J100" s="71"/>
      <c r="K100" s="71"/>
    </row>
    <row r="101" spans="1:11" x14ac:dyDescent="0.35">
      <c r="A101" s="69"/>
      <c r="B101" s="86"/>
      <c r="C101" s="86"/>
      <c r="D101" s="86"/>
      <c r="E101" s="70"/>
      <c r="F101" s="70"/>
      <c r="G101" s="70"/>
      <c r="H101" s="71"/>
      <c r="I101" s="72"/>
      <c r="J101" s="71"/>
      <c r="K101" s="71"/>
    </row>
    <row r="102" spans="1:11" x14ac:dyDescent="0.35">
      <c r="A102" s="69"/>
      <c r="B102" s="86"/>
      <c r="C102" s="86"/>
      <c r="D102" s="86"/>
      <c r="E102" s="70"/>
      <c r="F102" s="70"/>
      <c r="G102" s="70"/>
      <c r="H102" s="71"/>
      <c r="I102" s="72"/>
      <c r="J102" s="71"/>
      <c r="K102" s="71"/>
    </row>
    <row r="103" spans="1:11" x14ac:dyDescent="0.35">
      <c r="A103" s="69"/>
      <c r="B103" s="86"/>
      <c r="C103" s="86"/>
      <c r="D103" s="86"/>
      <c r="E103" s="70"/>
      <c r="F103" s="70"/>
      <c r="G103" s="70"/>
      <c r="H103" s="71"/>
      <c r="I103" s="71"/>
      <c r="J103" s="71"/>
      <c r="K103" s="72"/>
    </row>
    <row r="104" spans="1:11" x14ac:dyDescent="0.35">
      <c r="A104" s="69"/>
      <c r="B104" s="86"/>
      <c r="C104" s="86"/>
      <c r="D104" s="86"/>
      <c r="E104" s="70"/>
      <c r="F104" s="70"/>
      <c r="G104" s="70"/>
      <c r="H104" s="71"/>
      <c r="I104" s="72"/>
      <c r="J104" s="71"/>
      <c r="K104" s="71"/>
    </row>
    <row r="105" spans="1:11" x14ac:dyDescent="0.35">
      <c r="A105" s="69"/>
      <c r="B105" s="86"/>
      <c r="C105" s="86"/>
      <c r="D105" s="86"/>
      <c r="E105" s="70"/>
      <c r="F105" s="70"/>
      <c r="G105" s="70"/>
      <c r="H105" s="71"/>
      <c r="I105" s="71"/>
      <c r="J105" s="71"/>
      <c r="K105" s="72"/>
    </row>
    <row r="106" spans="1:11" x14ac:dyDescent="0.35">
      <c r="A106" s="69"/>
      <c r="B106" s="86"/>
      <c r="C106" s="86"/>
      <c r="D106" s="86"/>
      <c r="E106" s="70"/>
      <c r="F106" s="70"/>
      <c r="G106" s="70"/>
      <c r="H106" s="71"/>
      <c r="I106" s="71"/>
      <c r="J106" s="71"/>
      <c r="K106" s="72"/>
    </row>
    <row r="107" spans="1:11" x14ac:dyDescent="0.35">
      <c r="A107" s="69"/>
      <c r="B107" s="86"/>
      <c r="C107" s="86"/>
      <c r="D107" s="86"/>
      <c r="E107" s="70"/>
      <c r="F107" s="70"/>
      <c r="G107" s="70"/>
      <c r="H107" s="71"/>
      <c r="I107" s="71"/>
      <c r="J107" s="71"/>
      <c r="K107" s="72"/>
    </row>
    <row r="108" spans="1:11" x14ac:dyDescent="0.35">
      <c r="A108" s="69"/>
      <c r="B108" s="86"/>
      <c r="C108" s="86"/>
      <c r="D108" s="86"/>
      <c r="E108" s="70"/>
      <c r="F108" s="70"/>
      <c r="G108" s="70"/>
      <c r="H108" s="71"/>
      <c r="I108" s="71"/>
      <c r="J108" s="71"/>
      <c r="K108" s="72"/>
    </row>
    <row r="109" spans="1:11" x14ac:dyDescent="0.35">
      <c r="A109" s="69"/>
      <c r="B109" s="86"/>
      <c r="C109" s="86"/>
      <c r="D109" s="86"/>
      <c r="E109" s="70"/>
      <c r="F109" s="70"/>
      <c r="G109" s="70"/>
      <c r="H109" s="71"/>
      <c r="I109" s="71"/>
      <c r="J109" s="71"/>
      <c r="K109" s="72"/>
    </row>
    <row r="110" spans="1:11" x14ac:dyDescent="0.35">
      <c r="A110" s="69"/>
      <c r="B110" s="86"/>
      <c r="C110" s="86"/>
      <c r="D110" s="86"/>
      <c r="E110" s="70"/>
      <c r="F110" s="70"/>
      <c r="G110" s="70"/>
      <c r="H110" s="71"/>
      <c r="I110" s="71"/>
      <c r="J110" s="71"/>
      <c r="K110" s="72"/>
    </row>
    <row r="111" spans="1:11" x14ac:dyDescent="0.35">
      <c r="A111" s="69"/>
      <c r="B111" s="86"/>
      <c r="C111" s="86"/>
      <c r="D111" s="86"/>
      <c r="E111" s="70"/>
      <c r="F111" s="70"/>
      <c r="G111" s="70"/>
      <c r="H111" s="71"/>
      <c r="I111" s="71"/>
      <c r="J111" s="71"/>
      <c r="K111" s="72"/>
    </row>
    <row r="112" spans="1:11" x14ac:dyDescent="0.35">
      <c r="A112" s="69"/>
      <c r="B112" s="86"/>
      <c r="C112" s="86"/>
      <c r="D112" s="86"/>
      <c r="E112" s="70"/>
      <c r="F112" s="70"/>
      <c r="G112" s="70"/>
      <c r="H112" s="71"/>
      <c r="I112" s="71"/>
      <c r="J112" s="71"/>
      <c r="K112" s="72"/>
    </row>
    <row r="113" spans="1:11" x14ac:dyDescent="0.35">
      <c r="A113" s="69"/>
      <c r="B113" s="86"/>
      <c r="C113" s="86"/>
      <c r="D113" s="86"/>
      <c r="E113" s="70"/>
      <c r="F113" s="70"/>
      <c r="G113" s="70"/>
      <c r="H113" s="72"/>
      <c r="I113" s="71"/>
      <c r="J113" s="71"/>
      <c r="K113" s="72"/>
    </row>
    <row r="114" spans="1:11" x14ac:dyDescent="0.35">
      <c r="A114" s="69"/>
      <c r="B114" s="86"/>
      <c r="C114" s="86"/>
      <c r="D114" s="86"/>
      <c r="E114" s="70"/>
      <c r="F114" s="70"/>
      <c r="G114" s="70"/>
      <c r="H114" s="71"/>
      <c r="I114" s="71"/>
      <c r="J114" s="71"/>
      <c r="K114" s="72"/>
    </row>
    <row r="115" spans="1:11" x14ac:dyDescent="0.35">
      <c r="A115" s="69"/>
      <c r="B115" s="86"/>
      <c r="C115" s="86"/>
      <c r="D115" s="86"/>
      <c r="E115" s="70"/>
      <c r="F115" s="70"/>
      <c r="G115" s="70"/>
      <c r="H115" s="71"/>
      <c r="I115" s="72"/>
      <c r="J115" s="71"/>
      <c r="K115" s="72"/>
    </row>
    <row r="116" spans="1:11" x14ac:dyDescent="0.35">
      <c r="A116" s="69"/>
      <c r="B116" s="86"/>
      <c r="C116" s="86"/>
      <c r="D116" s="86"/>
      <c r="E116" s="70"/>
      <c r="F116" s="70"/>
      <c r="G116" s="70"/>
      <c r="H116" s="72"/>
      <c r="I116" s="72"/>
      <c r="J116" s="72"/>
      <c r="K116" s="72"/>
    </row>
    <row r="117" spans="1:11" x14ac:dyDescent="0.35">
      <c r="A117" s="69"/>
      <c r="B117" s="86"/>
      <c r="C117" s="86"/>
      <c r="D117" s="86"/>
      <c r="E117" s="70"/>
      <c r="F117" s="70"/>
      <c r="G117" s="70"/>
      <c r="H117" s="71"/>
      <c r="I117" s="71"/>
      <c r="K117" s="72"/>
    </row>
    <row r="118" spans="1:11" x14ac:dyDescent="0.35">
      <c r="A118" s="69"/>
      <c r="B118" s="86"/>
      <c r="C118" s="86"/>
      <c r="D118" s="86"/>
      <c r="E118" s="70"/>
      <c r="F118" s="70"/>
      <c r="G118" s="70"/>
      <c r="H118" s="72"/>
      <c r="I118" s="71"/>
      <c r="J118" s="71"/>
      <c r="K118" s="71"/>
    </row>
    <row r="119" spans="1:11" x14ac:dyDescent="0.35">
      <c r="A119" s="69"/>
      <c r="B119" s="86"/>
      <c r="C119" s="86"/>
      <c r="D119" s="86"/>
      <c r="E119" s="70"/>
      <c r="F119" s="70"/>
      <c r="G119" s="70"/>
      <c r="H119" s="71"/>
      <c r="I119" s="72"/>
      <c r="J119" s="71"/>
      <c r="K119" s="71"/>
    </row>
    <row r="120" spans="1:11" x14ac:dyDescent="0.35">
      <c r="A120" s="69"/>
      <c r="B120" s="86"/>
      <c r="C120" s="86"/>
      <c r="D120" s="86"/>
      <c r="E120" s="70"/>
      <c r="F120" s="70"/>
      <c r="G120" s="70"/>
      <c r="H120" s="71"/>
      <c r="I120" s="72"/>
      <c r="J120" s="71"/>
      <c r="K120" s="71"/>
    </row>
    <row r="121" spans="1:11" x14ac:dyDescent="0.35">
      <c r="A121" s="69"/>
      <c r="B121" s="86"/>
      <c r="C121" s="86"/>
      <c r="D121" s="86"/>
      <c r="E121" s="70"/>
      <c r="F121" s="70"/>
      <c r="G121" s="70"/>
      <c r="H121" s="71"/>
      <c r="I121" s="71"/>
      <c r="J121" s="71"/>
      <c r="K121" s="72"/>
    </row>
    <row r="122" spans="1:11" x14ac:dyDescent="0.35">
      <c r="A122" s="69"/>
      <c r="B122" s="86"/>
      <c r="C122" s="86"/>
      <c r="D122" s="86"/>
      <c r="E122" s="70"/>
      <c r="F122" s="70"/>
      <c r="G122" s="70"/>
      <c r="H122" s="71"/>
      <c r="I122" s="72"/>
      <c r="J122" s="71"/>
      <c r="K122" s="71"/>
    </row>
    <row r="123" spans="1:11" x14ac:dyDescent="0.35">
      <c r="A123" s="69"/>
      <c r="B123" s="86"/>
      <c r="C123" s="86"/>
      <c r="D123" s="86"/>
      <c r="E123" s="70"/>
      <c r="F123" s="70"/>
      <c r="G123" s="70"/>
      <c r="H123" s="71"/>
      <c r="I123" s="71"/>
      <c r="J123" s="71"/>
      <c r="K123" s="72"/>
    </row>
    <row r="124" spans="1:11" x14ac:dyDescent="0.35">
      <c r="A124" s="69"/>
      <c r="B124" s="86"/>
      <c r="C124" s="86"/>
      <c r="D124" s="86"/>
      <c r="E124" s="70"/>
      <c r="F124" s="70"/>
      <c r="G124" s="70"/>
      <c r="H124" s="71"/>
      <c r="I124" s="71"/>
      <c r="J124" s="71"/>
      <c r="K124" s="72"/>
    </row>
    <row r="125" spans="1:11" x14ac:dyDescent="0.35">
      <c r="A125" s="69"/>
      <c r="B125" s="86"/>
      <c r="C125" s="86"/>
      <c r="D125" s="86"/>
      <c r="E125" s="70"/>
      <c r="F125" s="70"/>
      <c r="G125" s="70"/>
      <c r="H125" s="71"/>
      <c r="I125" s="71"/>
      <c r="J125" s="71"/>
      <c r="K125" s="72"/>
    </row>
    <row r="126" spans="1:11" x14ac:dyDescent="0.35">
      <c r="A126" s="69"/>
      <c r="B126" s="86"/>
      <c r="C126" s="86"/>
      <c r="D126" s="86"/>
      <c r="E126" s="70"/>
      <c r="F126" s="70"/>
      <c r="G126" s="70"/>
      <c r="H126" s="71"/>
      <c r="I126" s="71"/>
      <c r="J126" s="71"/>
      <c r="K126" s="72"/>
    </row>
    <row r="127" spans="1:11" x14ac:dyDescent="0.35">
      <c r="A127" s="69"/>
      <c r="B127" s="86"/>
      <c r="C127" s="86"/>
      <c r="D127" s="86"/>
      <c r="E127" s="70"/>
      <c r="F127" s="70"/>
      <c r="G127" s="70"/>
      <c r="H127" s="71"/>
      <c r="I127" s="71"/>
      <c r="J127" s="71"/>
      <c r="K127" s="72"/>
    </row>
    <row r="128" spans="1:11" x14ac:dyDescent="0.35">
      <c r="A128" s="69"/>
      <c r="B128" s="86"/>
      <c r="C128" s="86"/>
      <c r="D128" s="86"/>
      <c r="E128" s="70"/>
      <c r="F128" s="70"/>
      <c r="G128" s="70"/>
      <c r="H128" s="71"/>
      <c r="I128" s="71"/>
      <c r="J128" s="71"/>
      <c r="K128" s="72"/>
    </row>
    <row r="129" spans="1:11" x14ac:dyDescent="0.35">
      <c r="A129" s="69"/>
      <c r="B129" s="86"/>
      <c r="C129" s="86"/>
      <c r="D129" s="86"/>
      <c r="E129" s="70"/>
      <c r="F129" s="70"/>
      <c r="G129" s="70"/>
      <c r="H129" s="71"/>
      <c r="I129" s="71"/>
      <c r="J129" s="71"/>
      <c r="K129" s="72"/>
    </row>
    <row r="130" spans="1:11" x14ac:dyDescent="0.35">
      <c r="A130" s="69"/>
      <c r="B130" s="86"/>
      <c r="C130" s="86"/>
      <c r="D130" s="86"/>
      <c r="E130" s="70"/>
      <c r="F130" s="70"/>
      <c r="G130" s="70"/>
      <c r="H130" s="71"/>
      <c r="I130" s="71"/>
      <c r="J130" s="71"/>
      <c r="K130" s="72"/>
    </row>
    <row r="131" spans="1:11" x14ac:dyDescent="0.35">
      <c r="A131" s="69"/>
      <c r="B131" s="86"/>
      <c r="C131" s="86"/>
      <c r="D131" s="86"/>
      <c r="E131" s="70"/>
      <c r="F131" s="70"/>
      <c r="G131" s="70"/>
      <c r="H131" s="72"/>
      <c r="I131" s="71"/>
      <c r="J131" s="71"/>
      <c r="K131" s="72"/>
    </row>
    <row r="132" spans="1:11" x14ac:dyDescent="0.35">
      <c r="A132" s="69"/>
      <c r="B132" s="86"/>
      <c r="C132" s="86"/>
      <c r="D132" s="86"/>
      <c r="E132" s="70"/>
      <c r="F132" s="70"/>
      <c r="G132" s="70"/>
      <c r="H132" s="71"/>
      <c r="I132" s="71"/>
      <c r="J132" s="71"/>
      <c r="K132" s="72"/>
    </row>
    <row r="133" spans="1:11" x14ac:dyDescent="0.35">
      <c r="A133" s="69"/>
      <c r="B133" s="86"/>
      <c r="C133" s="86"/>
      <c r="D133" s="86"/>
      <c r="E133" s="70"/>
      <c r="F133" s="70"/>
      <c r="G133" s="70"/>
      <c r="H133" s="71"/>
      <c r="I133" s="72"/>
      <c r="J133" s="71"/>
      <c r="K133" s="72"/>
    </row>
    <row r="134" spans="1:11" x14ac:dyDescent="0.35">
      <c r="A134" s="69"/>
      <c r="B134" s="86"/>
      <c r="C134" s="86"/>
      <c r="D134" s="86"/>
      <c r="E134" s="70"/>
      <c r="F134" s="70"/>
      <c r="G134" s="70"/>
      <c r="H134" s="72"/>
      <c r="I134" s="72"/>
      <c r="J134" s="72"/>
      <c r="K134" s="72"/>
    </row>
    <row r="135" spans="1:11" x14ac:dyDescent="0.35">
      <c r="A135" s="69"/>
      <c r="B135" s="86"/>
      <c r="C135" s="86"/>
      <c r="D135" s="86"/>
      <c r="E135" s="70"/>
      <c r="F135" s="70"/>
      <c r="G135" s="70"/>
      <c r="H135" s="71"/>
      <c r="I135" s="71"/>
      <c r="K135" s="72"/>
    </row>
    <row r="136" spans="1:11" x14ac:dyDescent="0.35">
      <c r="A136" s="69"/>
      <c r="B136" s="86"/>
      <c r="C136" s="86"/>
      <c r="D136" s="86"/>
      <c r="E136" s="70"/>
      <c r="F136" s="70"/>
      <c r="G136" s="70"/>
      <c r="H136" s="72"/>
      <c r="I136" s="71"/>
      <c r="J136" s="71"/>
      <c r="K136" s="71"/>
    </row>
    <row r="137" spans="1:11" x14ac:dyDescent="0.35">
      <c r="A137" s="69"/>
      <c r="B137" s="86"/>
      <c r="C137" s="86"/>
      <c r="D137" s="86"/>
      <c r="E137" s="70"/>
      <c r="F137" s="70"/>
      <c r="G137" s="70"/>
      <c r="H137" s="71"/>
      <c r="I137" s="72"/>
      <c r="J137" s="71"/>
      <c r="K137" s="71"/>
    </row>
    <row r="138" spans="1:11" x14ac:dyDescent="0.35">
      <c r="A138" s="69"/>
      <c r="B138" s="86"/>
      <c r="C138" s="86"/>
      <c r="D138" s="86"/>
      <c r="E138" s="70"/>
      <c r="F138" s="70"/>
      <c r="G138" s="70"/>
      <c r="H138" s="71"/>
      <c r="I138" s="72"/>
      <c r="J138" s="71"/>
      <c r="K138" s="71"/>
    </row>
    <row r="139" spans="1:11" x14ac:dyDescent="0.35">
      <c r="A139" s="69"/>
      <c r="B139" s="86"/>
      <c r="C139" s="86"/>
      <c r="D139" s="86"/>
      <c r="E139" s="70"/>
      <c r="F139" s="70"/>
      <c r="G139" s="70"/>
      <c r="H139" s="71"/>
      <c r="I139" s="71"/>
      <c r="J139" s="71"/>
      <c r="K139" s="72"/>
    </row>
    <row r="140" spans="1:11" x14ac:dyDescent="0.35">
      <c r="A140" s="69"/>
      <c r="B140" s="86"/>
      <c r="C140" s="86"/>
      <c r="D140" s="86"/>
      <c r="E140" s="70"/>
      <c r="F140" s="70"/>
      <c r="G140" s="70"/>
      <c r="H140" s="71"/>
      <c r="I140" s="72"/>
      <c r="J140" s="71"/>
      <c r="K140" s="71"/>
    </row>
    <row r="141" spans="1:11" x14ac:dyDescent="0.35">
      <c r="A141" s="69"/>
      <c r="B141" s="86"/>
      <c r="C141" s="86"/>
      <c r="D141" s="86"/>
      <c r="E141" s="70"/>
      <c r="F141" s="70"/>
      <c r="G141" s="70"/>
      <c r="H141" s="71"/>
      <c r="I141" s="71"/>
      <c r="J141" s="71"/>
      <c r="K141" s="72"/>
    </row>
    <row r="142" spans="1:11" x14ac:dyDescent="0.35">
      <c r="A142" s="69"/>
      <c r="B142" s="86"/>
      <c r="C142" s="86"/>
      <c r="D142" s="86"/>
      <c r="E142" s="70"/>
      <c r="F142" s="70"/>
      <c r="G142" s="70"/>
      <c r="H142" s="71"/>
      <c r="I142" s="71"/>
      <c r="J142" s="71"/>
      <c r="K142" s="72"/>
    </row>
    <row r="143" spans="1:11" x14ac:dyDescent="0.35">
      <c r="A143" s="69"/>
      <c r="B143" s="86"/>
      <c r="C143" s="86"/>
      <c r="D143" s="86"/>
      <c r="E143" s="70"/>
      <c r="F143" s="70"/>
      <c r="G143" s="70"/>
      <c r="H143" s="71"/>
      <c r="I143" s="71"/>
      <c r="J143" s="71"/>
      <c r="K143" s="72"/>
    </row>
    <row r="144" spans="1:11" x14ac:dyDescent="0.35">
      <c r="A144" s="69"/>
      <c r="B144" s="86"/>
      <c r="C144" s="86"/>
      <c r="D144" s="86"/>
      <c r="E144" s="70"/>
      <c r="F144" s="70"/>
      <c r="G144" s="70"/>
      <c r="H144" s="71"/>
      <c r="I144" s="71"/>
      <c r="J144" s="71"/>
      <c r="K144" s="72"/>
    </row>
    <row r="145" spans="1:11" x14ac:dyDescent="0.35">
      <c r="A145" s="69"/>
      <c r="B145" s="86"/>
      <c r="C145" s="86"/>
      <c r="D145" s="86"/>
      <c r="E145" s="70"/>
      <c r="F145" s="70"/>
      <c r="G145" s="70"/>
      <c r="H145" s="71"/>
      <c r="I145" s="71"/>
      <c r="J145" s="71"/>
      <c r="K145" s="72"/>
    </row>
    <row r="146" spans="1:11" x14ac:dyDescent="0.35">
      <c r="A146" s="69"/>
      <c r="B146" s="86"/>
      <c r="C146" s="86"/>
      <c r="D146" s="86"/>
      <c r="E146" s="70"/>
      <c r="F146" s="70"/>
      <c r="G146" s="70"/>
      <c r="H146" s="71"/>
      <c r="I146" s="71"/>
      <c r="J146" s="71"/>
      <c r="K146" s="72"/>
    </row>
    <row r="147" spans="1:11" x14ac:dyDescent="0.35">
      <c r="A147" s="69"/>
      <c r="B147" s="86"/>
      <c r="C147" s="86"/>
      <c r="D147" s="86"/>
      <c r="E147" s="70"/>
      <c r="F147" s="70"/>
      <c r="G147" s="70"/>
      <c r="H147" s="71"/>
      <c r="I147" s="71"/>
      <c r="J147" s="71"/>
      <c r="K147" s="72"/>
    </row>
    <row r="148" spans="1:11" x14ac:dyDescent="0.35">
      <c r="A148" s="69"/>
      <c r="B148" s="86"/>
      <c r="C148" s="86"/>
      <c r="D148" s="86"/>
      <c r="E148" s="70"/>
      <c r="F148" s="70"/>
      <c r="G148" s="70"/>
      <c r="H148" s="71"/>
      <c r="I148" s="71"/>
      <c r="J148" s="71"/>
      <c r="K148" s="72"/>
    </row>
    <row r="149" spans="1:11" x14ac:dyDescent="0.35">
      <c r="A149" s="69"/>
      <c r="B149" s="86"/>
      <c r="C149" s="86"/>
      <c r="D149" s="86"/>
      <c r="E149" s="70"/>
      <c r="F149" s="70"/>
      <c r="G149" s="70"/>
      <c r="H149" s="72"/>
      <c r="I149" s="71"/>
      <c r="J149" s="71"/>
      <c r="K149" s="72"/>
    </row>
    <row r="150" spans="1:11" x14ac:dyDescent="0.35">
      <c r="A150" s="69"/>
      <c r="B150" s="86"/>
      <c r="C150" s="86"/>
      <c r="D150" s="86"/>
      <c r="E150" s="70"/>
      <c r="F150" s="70"/>
      <c r="G150" s="70"/>
      <c r="H150" s="71"/>
      <c r="I150" s="71"/>
      <c r="J150" s="71"/>
      <c r="K150" s="72"/>
    </row>
    <row r="151" spans="1:11" x14ac:dyDescent="0.35">
      <c r="A151" s="69"/>
      <c r="B151" s="86"/>
      <c r="C151" s="86"/>
      <c r="D151" s="86"/>
      <c r="E151" s="70"/>
      <c r="F151" s="70"/>
      <c r="G151" s="70"/>
      <c r="H151" s="71"/>
      <c r="I151" s="72"/>
      <c r="J151" s="71"/>
      <c r="K151" s="72"/>
    </row>
    <row r="152" spans="1:11" x14ac:dyDescent="0.35">
      <c r="A152" s="69"/>
      <c r="B152" s="86"/>
      <c r="C152" s="86"/>
      <c r="D152" s="86"/>
      <c r="E152" s="70"/>
      <c r="F152" s="70"/>
      <c r="G152" s="70"/>
      <c r="H152" s="72"/>
      <c r="I152" s="72"/>
      <c r="J152" s="72"/>
      <c r="K152" s="72"/>
    </row>
    <row r="153" spans="1:11" x14ac:dyDescent="0.35">
      <c r="A153" s="69"/>
      <c r="B153" s="86"/>
      <c r="C153" s="86"/>
      <c r="D153" s="86"/>
      <c r="E153" s="70"/>
      <c r="F153" s="70"/>
      <c r="G153" s="70"/>
      <c r="H153" s="71"/>
      <c r="I153" s="71"/>
      <c r="K153" s="72"/>
    </row>
    <row r="154" spans="1:11" x14ac:dyDescent="0.35">
      <c r="A154" s="69"/>
      <c r="B154" s="86"/>
      <c r="C154" s="86"/>
      <c r="D154" s="86"/>
      <c r="E154" s="70"/>
      <c r="F154" s="70"/>
      <c r="G154" s="70"/>
      <c r="H154" s="72"/>
      <c r="I154" s="71"/>
      <c r="J154" s="71"/>
      <c r="K154" s="71"/>
    </row>
    <row r="155" spans="1:11" x14ac:dyDescent="0.35">
      <c r="A155" s="69"/>
      <c r="B155" s="86"/>
      <c r="C155" s="86"/>
      <c r="D155" s="86"/>
      <c r="E155" s="70"/>
      <c r="F155" s="70"/>
      <c r="G155" s="70"/>
      <c r="H155" s="71"/>
      <c r="I155" s="72"/>
      <c r="J155" s="71"/>
      <c r="K155" s="71"/>
    </row>
    <row r="156" spans="1:11" x14ac:dyDescent="0.35">
      <c r="A156" s="69"/>
      <c r="B156" s="86"/>
      <c r="C156" s="86"/>
      <c r="D156" s="86"/>
      <c r="E156" s="70"/>
      <c r="F156" s="70"/>
      <c r="G156" s="70"/>
      <c r="H156" s="71"/>
      <c r="I156" s="72"/>
      <c r="J156" s="71"/>
      <c r="K156" s="71"/>
    </row>
    <row r="157" spans="1:11" x14ac:dyDescent="0.35">
      <c r="A157" s="69"/>
      <c r="B157" s="86"/>
      <c r="C157" s="86"/>
      <c r="D157" s="86"/>
      <c r="E157" s="70"/>
      <c r="F157" s="70"/>
      <c r="G157" s="70"/>
      <c r="H157" s="71"/>
      <c r="I157" s="71"/>
      <c r="J157" s="71"/>
      <c r="K157" s="72"/>
    </row>
    <row r="158" spans="1:11" x14ac:dyDescent="0.35">
      <c r="A158" s="69"/>
      <c r="B158" s="86"/>
      <c r="C158" s="86"/>
      <c r="D158" s="86"/>
      <c r="E158" s="70"/>
      <c r="F158" s="70"/>
      <c r="G158" s="70"/>
      <c r="H158" s="71"/>
      <c r="I158" s="72"/>
      <c r="J158" s="71"/>
      <c r="K158" s="71"/>
    </row>
    <row r="159" spans="1:11" x14ac:dyDescent="0.35">
      <c r="A159" s="69"/>
      <c r="B159" s="86"/>
      <c r="C159" s="86"/>
      <c r="D159" s="86"/>
      <c r="E159" s="70"/>
      <c r="F159" s="70"/>
      <c r="G159" s="70"/>
      <c r="H159" s="71"/>
      <c r="I159" s="71"/>
      <c r="J159" s="71"/>
      <c r="K159" s="72"/>
    </row>
    <row r="160" spans="1:11" x14ac:dyDescent="0.35">
      <c r="A160" s="69"/>
      <c r="B160" s="86"/>
      <c r="C160" s="86"/>
      <c r="D160" s="86"/>
      <c r="E160" s="70"/>
      <c r="F160" s="70"/>
      <c r="G160" s="70"/>
      <c r="H160" s="71"/>
      <c r="I160" s="71"/>
      <c r="J160" s="71"/>
      <c r="K160" s="72"/>
    </row>
    <row r="161" spans="1:11" x14ac:dyDescent="0.35">
      <c r="A161" s="69"/>
      <c r="B161" s="86"/>
      <c r="C161" s="86"/>
      <c r="D161" s="86"/>
      <c r="E161" s="70"/>
      <c r="F161" s="70"/>
      <c r="G161" s="70"/>
      <c r="H161" s="71"/>
      <c r="I161" s="71"/>
      <c r="J161" s="71"/>
      <c r="K161" s="72"/>
    </row>
    <row r="162" spans="1:11" x14ac:dyDescent="0.35">
      <c r="A162" s="69"/>
      <c r="B162" s="86"/>
      <c r="C162" s="86"/>
      <c r="D162" s="86"/>
      <c r="E162" s="70"/>
      <c r="F162" s="70"/>
      <c r="G162" s="70"/>
      <c r="H162" s="71"/>
      <c r="I162" s="71"/>
      <c r="J162" s="71"/>
      <c r="K162" s="72"/>
    </row>
    <row r="163" spans="1:11" x14ac:dyDescent="0.35">
      <c r="A163" s="69"/>
      <c r="B163" s="86"/>
      <c r="C163" s="86"/>
      <c r="D163" s="86"/>
      <c r="E163" s="70"/>
      <c r="F163" s="70"/>
      <c r="G163" s="70"/>
      <c r="H163" s="71"/>
      <c r="I163" s="71"/>
      <c r="J163" s="71"/>
      <c r="K163" s="72"/>
    </row>
    <row r="164" spans="1:11" x14ac:dyDescent="0.35">
      <c r="A164" s="69"/>
      <c r="B164" s="86"/>
      <c r="C164" s="86"/>
      <c r="D164" s="86"/>
      <c r="E164" s="70"/>
      <c r="F164" s="70"/>
      <c r="G164" s="70"/>
      <c r="H164" s="71"/>
      <c r="I164" s="71"/>
      <c r="J164" s="71"/>
      <c r="K164" s="72"/>
    </row>
    <row r="165" spans="1:11" x14ac:dyDescent="0.35">
      <c r="A165" s="69"/>
      <c r="B165" s="86"/>
      <c r="C165" s="86"/>
      <c r="D165" s="86"/>
      <c r="E165" s="70"/>
      <c r="F165" s="70"/>
      <c r="G165" s="70"/>
      <c r="H165" s="71"/>
      <c r="I165" s="71"/>
      <c r="J165" s="71"/>
      <c r="K165" s="72"/>
    </row>
    <row r="166" spans="1:11" x14ac:dyDescent="0.35">
      <c r="A166" s="69"/>
      <c r="B166" s="86"/>
      <c r="C166" s="86"/>
      <c r="D166" s="86"/>
      <c r="E166" s="70"/>
      <c r="F166" s="70"/>
      <c r="G166" s="70"/>
      <c r="H166" s="71"/>
      <c r="I166" s="71"/>
      <c r="J166" s="71"/>
      <c r="K166" s="72"/>
    </row>
    <row r="167" spans="1:11" x14ac:dyDescent="0.35">
      <c r="A167" s="69"/>
      <c r="B167" s="86"/>
      <c r="C167" s="86"/>
      <c r="D167" s="86"/>
      <c r="E167" s="70"/>
      <c r="F167" s="70"/>
      <c r="G167" s="70"/>
      <c r="H167" s="72"/>
      <c r="I167" s="71"/>
      <c r="J167" s="71"/>
      <c r="K167" s="72"/>
    </row>
    <row r="168" spans="1:11" x14ac:dyDescent="0.35">
      <c r="A168" s="69"/>
      <c r="B168" s="86"/>
      <c r="C168" s="86"/>
      <c r="D168" s="86"/>
      <c r="E168" s="70"/>
      <c r="F168" s="70"/>
      <c r="G168" s="70"/>
      <c r="H168" s="71"/>
      <c r="I168" s="71"/>
      <c r="J168" s="71"/>
      <c r="K168" s="72"/>
    </row>
    <row r="169" spans="1:11" x14ac:dyDescent="0.35">
      <c r="A169" s="69"/>
      <c r="B169" s="86"/>
      <c r="C169" s="86"/>
      <c r="D169" s="86"/>
      <c r="E169" s="70"/>
      <c r="F169" s="70"/>
      <c r="G169" s="70"/>
      <c r="H169" s="71"/>
      <c r="I169" s="72"/>
      <c r="J169" s="71"/>
      <c r="K169" s="72"/>
    </row>
    <row r="170" spans="1:11" x14ac:dyDescent="0.35">
      <c r="A170" s="69"/>
      <c r="B170" s="86"/>
      <c r="C170" s="86"/>
      <c r="D170" s="86"/>
      <c r="E170" s="70"/>
      <c r="F170" s="70"/>
      <c r="G170" s="70"/>
      <c r="H170" s="72"/>
      <c r="I170" s="72"/>
      <c r="J170" s="72"/>
      <c r="K170" s="72"/>
    </row>
    <row r="171" spans="1:11" x14ac:dyDescent="0.35">
      <c r="A171" s="69"/>
      <c r="B171" s="86"/>
      <c r="C171" s="86"/>
      <c r="D171" s="86"/>
      <c r="E171" s="70"/>
      <c r="F171" s="70"/>
      <c r="G171" s="70"/>
      <c r="H171" s="71"/>
      <c r="I171" s="71"/>
      <c r="K171" s="72"/>
    </row>
    <row r="172" spans="1:11" x14ac:dyDescent="0.35">
      <c r="A172" s="69"/>
      <c r="B172" s="86"/>
      <c r="C172" s="86"/>
      <c r="D172" s="86"/>
      <c r="E172" s="70"/>
      <c r="F172" s="70"/>
      <c r="G172" s="70"/>
      <c r="H172" s="72"/>
      <c r="I172" s="71"/>
      <c r="J172" s="71"/>
      <c r="K172" s="71"/>
    </row>
    <row r="173" spans="1:11" x14ac:dyDescent="0.35">
      <c r="A173" s="69"/>
      <c r="B173" s="86"/>
      <c r="C173" s="86"/>
      <c r="D173" s="86"/>
      <c r="E173" s="70"/>
      <c r="F173" s="70"/>
      <c r="G173" s="70"/>
      <c r="H173" s="71"/>
      <c r="I173" s="72"/>
      <c r="J173" s="71"/>
      <c r="K173" s="71"/>
    </row>
    <row r="174" spans="1:11" x14ac:dyDescent="0.35">
      <c r="A174" s="69"/>
      <c r="B174" s="86"/>
      <c r="C174" s="86"/>
      <c r="D174" s="86"/>
      <c r="E174" s="70"/>
      <c r="F174" s="70"/>
      <c r="G174" s="70"/>
      <c r="H174" s="71"/>
      <c r="I174" s="72"/>
      <c r="J174" s="71"/>
      <c r="K174" s="71"/>
    </row>
    <row r="175" spans="1:11" x14ac:dyDescent="0.35">
      <c r="A175" s="69"/>
      <c r="B175" s="86"/>
      <c r="C175" s="86"/>
      <c r="D175" s="86"/>
      <c r="E175" s="70"/>
      <c r="F175" s="70"/>
      <c r="G175" s="70"/>
      <c r="H175" s="71"/>
      <c r="I175" s="71"/>
      <c r="J175" s="71"/>
      <c r="K175" s="72"/>
    </row>
    <row r="176" spans="1:11" x14ac:dyDescent="0.35">
      <c r="A176" s="69"/>
      <c r="B176" s="86"/>
      <c r="C176" s="86"/>
      <c r="D176" s="86"/>
      <c r="E176" s="70"/>
      <c r="F176" s="70"/>
      <c r="G176" s="70"/>
      <c r="H176" s="71"/>
      <c r="I176" s="72"/>
      <c r="J176" s="71"/>
      <c r="K176" s="71"/>
    </row>
    <row r="177" spans="1:11" x14ac:dyDescent="0.35">
      <c r="A177" s="69"/>
      <c r="B177" s="86"/>
      <c r="C177" s="86"/>
      <c r="D177" s="86"/>
      <c r="E177" s="70"/>
      <c r="F177" s="70"/>
      <c r="G177" s="70"/>
      <c r="H177" s="71"/>
      <c r="I177" s="71"/>
      <c r="J177" s="71"/>
      <c r="K177" s="72"/>
    </row>
    <row r="178" spans="1:11" x14ac:dyDescent="0.35">
      <c r="A178" s="69"/>
      <c r="B178" s="86"/>
      <c r="C178" s="86"/>
      <c r="D178" s="86"/>
      <c r="E178" s="70"/>
      <c r="F178" s="70"/>
      <c r="G178" s="70"/>
      <c r="H178" s="71"/>
      <c r="I178" s="71"/>
      <c r="J178" s="71"/>
      <c r="K178" s="72"/>
    </row>
    <row r="179" spans="1:11" x14ac:dyDescent="0.35">
      <c r="A179" s="69"/>
      <c r="B179" s="86"/>
      <c r="C179" s="86"/>
      <c r="D179" s="86"/>
      <c r="E179" s="70"/>
      <c r="F179" s="70"/>
      <c r="G179" s="70"/>
      <c r="H179" s="71"/>
      <c r="I179" s="71"/>
      <c r="J179" s="71"/>
      <c r="K179" s="72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2"/>
  <sheetViews>
    <sheetView workbookViewId="0">
      <selection activeCell="A2" sqref="A2:G42"/>
    </sheetView>
  </sheetViews>
  <sheetFormatPr defaultColWidth="14.42578125" defaultRowHeight="15" x14ac:dyDescent="0.25"/>
  <cols>
    <col min="1" max="1" width="11.85546875" bestFit="1" customWidth="1"/>
    <col min="2" max="2" width="18" bestFit="1" customWidth="1"/>
    <col min="3" max="3" width="19.140625" bestFit="1" customWidth="1"/>
    <col min="4" max="4" width="32.28515625" bestFit="1" customWidth="1"/>
    <col min="5" max="5" width="21.7109375" bestFit="1" customWidth="1"/>
    <col min="6" max="6" width="29.28515625" bestFit="1" customWidth="1"/>
    <col min="7" max="7" width="24.5703125" bestFit="1" customWidth="1"/>
    <col min="8" max="8" width="32.7109375" style="1" bestFit="1" customWidth="1"/>
    <col min="9" max="9" width="14.42578125" style="1" customWidth="1"/>
    <col min="10" max="10" width="17" style="1" bestFit="1" customWidth="1"/>
    <col min="11" max="11" width="6.7109375" style="1" bestFit="1" customWidth="1"/>
    <col min="12" max="12" width="14.42578125" style="1" bestFit="1" customWidth="1"/>
    <col min="13" max="13" width="15.42578125" style="1" bestFit="1" customWidth="1"/>
    <col min="14" max="14" width="14.42578125" style="1" customWidth="1"/>
    <col min="15" max="16" width="8.140625" style="1" bestFit="1" customWidth="1"/>
    <col min="17" max="17" width="8.42578125" style="1" bestFit="1" customWidth="1"/>
    <col min="18" max="18" width="14.42578125" style="1" customWidth="1"/>
    <col min="19" max="16384" width="14.42578125" style="1"/>
  </cols>
  <sheetData>
    <row r="1" spans="1:12" s="27" customFormat="1" ht="30" customHeight="1" x14ac:dyDescent="0.25">
      <c r="A1" s="44" t="s">
        <v>120</v>
      </c>
      <c r="B1" s="44" t="s">
        <v>121</v>
      </c>
      <c r="C1" s="44" t="s">
        <v>122</v>
      </c>
      <c r="D1" s="44" t="s">
        <v>123</v>
      </c>
      <c r="E1" s="44" t="s">
        <v>124</v>
      </c>
      <c r="F1" s="44" t="s">
        <v>125</v>
      </c>
      <c r="G1" s="44" t="s">
        <v>126</v>
      </c>
      <c r="H1" s="42"/>
    </row>
    <row r="2" spans="1:12" s="28" customFormat="1" ht="18" customHeight="1" x14ac:dyDescent="0.25">
      <c r="A2" s="95"/>
      <c r="B2" s="95"/>
      <c r="C2" s="95"/>
      <c r="D2" s="95"/>
      <c r="E2" s="95"/>
      <c r="F2" s="95"/>
      <c r="G2" s="95"/>
      <c r="H2" s="40"/>
      <c r="L2" s="39" t="s">
        <v>127</v>
      </c>
    </row>
    <row r="3" spans="1:12" ht="18" customHeight="1" x14ac:dyDescent="0.25">
      <c r="A3" s="95"/>
      <c r="B3" s="95"/>
      <c r="C3" s="95"/>
      <c r="D3" s="95"/>
      <c r="E3" s="95"/>
      <c r="F3" s="95"/>
      <c r="G3" s="95"/>
      <c r="H3" s="38"/>
      <c r="L3" s="37">
        <f>SUM(F2:F50)</f>
        <v>0</v>
      </c>
    </row>
    <row r="4" spans="1:12" x14ac:dyDescent="0.25">
      <c r="A4" s="96"/>
      <c r="B4" s="97"/>
      <c r="C4" s="97"/>
      <c r="D4" s="97"/>
      <c r="E4" s="97"/>
      <c r="F4" s="97"/>
      <c r="G4" s="97"/>
      <c r="H4" s="38"/>
    </row>
    <row r="5" spans="1:12" x14ac:dyDescent="0.25">
      <c r="A5" s="96"/>
      <c r="B5" s="97"/>
      <c r="C5" s="97"/>
      <c r="D5" s="97"/>
      <c r="E5" s="97"/>
      <c r="F5" s="97"/>
      <c r="G5" s="97"/>
      <c r="H5" s="38"/>
    </row>
    <row r="6" spans="1:12" x14ac:dyDescent="0.25">
      <c r="A6" s="96"/>
      <c r="B6" s="97"/>
      <c r="C6" s="97"/>
      <c r="D6" s="97"/>
      <c r="E6" s="98"/>
      <c r="F6" s="98"/>
      <c r="G6" s="98"/>
      <c r="H6" s="38"/>
    </row>
    <row r="7" spans="1:12" x14ac:dyDescent="0.25">
      <c r="A7" s="96"/>
      <c r="B7" s="97"/>
      <c r="C7" s="97"/>
      <c r="D7" s="97"/>
      <c r="E7" s="97"/>
      <c r="F7" s="97"/>
      <c r="G7" s="97"/>
      <c r="H7" s="38"/>
    </row>
    <row r="8" spans="1:12" x14ac:dyDescent="0.25">
      <c r="A8" s="96"/>
      <c r="B8" s="97"/>
      <c r="C8" s="97"/>
      <c r="D8" s="97"/>
      <c r="E8" s="97"/>
      <c r="F8" s="97"/>
      <c r="G8" s="97"/>
      <c r="H8" s="38"/>
    </row>
    <row r="9" spans="1:12" x14ac:dyDescent="0.25">
      <c r="A9" s="96"/>
      <c r="B9" s="97"/>
      <c r="C9" s="97"/>
      <c r="D9" s="97"/>
      <c r="E9" s="98"/>
      <c r="F9" s="98"/>
      <c r="G9" s="98"/>
      <c r="H9" s="38"/>
    </row>
    <row r="10" spans="1:12" x14ac:dyDescent="0.25">
      <c r="A10" s="96"/>
      <c r="B10" s="97"/>
      <c r="C10" s="97"/>
      <c r="D10" s="97"/>
      <c r="E10" s="98"/>
      <c r="F10" s="98"/>
      <c r="G10" s="98"/>
      <c r="H10" s="38"/>
    </row>
    <row r="11" spans="1:12" x14ac:dyDescent="0.25">
      <c r="A11" s="96"/>
      <c r="B11" s="97"/>
      <c r="C11" s="97"/>
      <c r="D11" s="97"/>
      <c r="E11" s="98"/>
      <c r="F11" s="98"/>
      <c r="G11" s="98"/>
      <c r="H11" s="38"/>
    </row>
    <row r="12" spans="1:12" x14ac:dyDescent="0.25">
      <c r="A12" s="96"/>
      <c r="B12" s="97"/>
      <c r="C12" s="97"/>
      <c r="D12" s="97"/>
      <c r="E12" s="97"/>
      <c r="F12" s="97"/>
      <c r="G12" s="97"/>
      <c r="H12" s="38"/>
    </row>
    <row r="13" spans="1:12" x14ac:dyDescent="0.25">
      <c r="A13" s="96"/>
      <c r="B13" s="97"/>
      <c r="C13" s="97"/>
      <c r="D13" s="97"/>
      <c r="E13" s="97"/>
      <c r="F13" s="97"/>
      <c r="G13" s="97"/>
      <c r="H13" s="38"/>
    </row>
    <row r="14" spans="1:12" x14ac:dyDescent="0.25">
      <c r="A14" s="96"/>
      <c r="B14" s="97"/>
      <c r="C14" s="97"/>
      <c r="D14" s="97"/>
      <c r="E14" s="97"/>
      <c r="F14" s="97"/>
      <c r="G14" s="97"/>
      <c r="H14" s="38"/>
    </row>
    <row r="15" spans="1:12" x14ac:dyDescent="0.25">
      <c r="A15" s="96"/>
      <c r="B15" s="97"/>
      <c r="C15" s="97"/>
      <c r="D15" s="97"/>
      <c r="E15" s="97"/>
      <c r="F15" s="97"/>
      <c r="G15" s="97"/>
      <c r="H15" s="38"/>
    </row>
    <row r="16" spans="1:12" x14ac:dyDescent="0.25">
      <c r="A16" s="96"/>
      <c r="B16" s="97"/>
      <c r="C16" s="97"/>
      <c r="D16" s="97"/>
      <c r="E16" s="97"/>
      <c r="F16" s="97"/>
      <c r="G16" s="97"/>
      <c r="H16" s="38"/>
    </row>
    <row r="17" spans="1:8" x14ac:dyDescent="0.25">
      <c r="A17" s="96"/>
      <c r="B17" s="97"/>
      <c r="C17" s="97"/>
      <c r="D17" s="97"/>
      <c r="E17" s="99"/>
      <c r="F17" s="99"/>
      <c r="G17" s="99"/>
      <c r="H17" s="38"/>
    </row>
    <row r="18" spans="1:8" x14ac:dyDescent="0.25">
      <c r="A18" s="96"/>
      <c r="B18" s="97"/>
      <c r="C18" s="97"/>
      <c r="D18" s="97"/>
      <c r="E18" s="98"/>
      <c r="F18" s="98"/>
      <c r="G18" s="98"/>
      <c r="H18" s="38"/>
    </row>
    <row r="19" spans="1:8" x14ac:dyDescent="0.25">
      <c r="A19" s="96"/>
      <c r="B19" s="97"/>
      <c r="C19" s="97"/>
      <c r="D19" s="97"/>
      <c r="E19" s="98"/>
      <c r="F19" s="98"/>
      <c r="G19" s="98"/>
      <c r="H19" s="38"/>
    </row>
    <row r="20" spans="1:8" x14ac:dyDescent="0.25">
      <c r="A20" s="96"/>
      <c r="B20" s="97"/>
      <c r="C20" s="97"/>
      <c r="D20" s="97"/>
      <c r="E20" s="98"/>
      <c r="F20" s="98"/>
      <c r="G20" s="98"/>
      <c r="H20" s="38"/>
    </row>
    <row r="21" spans="1:8" x14ac:dyDescent="0.25">
      <c r="A21" s="96"/>
      <c r="B21" s="97"/>
      <c r="C21" s="97"/>
      <c r="D21" s="97"/>
      <c r="E21" s="98"/>
      <c r="F21" s="98"/>
      <c r="G21" s="98"/>
      <c r="H21" s="38"/>
    </row>
    <row r="22" spans="1:8" x14ac:dyDescent="0.25">
      <c r="A22" s="96"/>
      <c r="B22" s="97"/>
      <c r="C22" s="97"/>
      <c r="D22" s="97"/>
      <c r="E22" s="97"/>
      <c r="F22" s="97"/>
      <c r="G22" s="97"/>
      <c r="H22" s="38"/>
    </row>
    <row r="23" spans="1:8" x14ac:dyDescent="0.25">
      <c r="A23" s="96"/>
      <c r="B23" s="97"/>
      <c r="C23" s="97"/>
      <c r="D23" s="97"/>
      <c r="E23" s="97"/>
      <c r="F23" s="97"/>
      <c r="G23" s="97"/>
      <c r="H23" s="38"/>
    </row>
    <row r="24" spans="1:8" x14ac:dyDescent="0.25">
      <c r="A24" s="96"/>
      <c r="B24" s="97"/>
      <c r="C24" s="97"/>
      <c r="D24" s="97"/>
      <c r="E24" s="97"/>
      <c r="F24" s="97"/>
      <c r="G24" s="97"/>
      <c r="H24" s="38"/>
    </row>
    <row r="25" spans="1:8" s="28" customFormat="1" x14ac:dyDescent="0.25">
      <c r="A25" s="96"/>
      <c r="B25" s="97"/>
      <c r="C25" s="97"/>
      <c r="D25" s="97"/>
      <c r="E25" s="98"/>
      <c r="F25" s="98"/>
      <c r="G25" s="98"/>
      <c r="H25" s="40"/>
    </row>
    <row r="26" spans="1:8" x14ac:dyDescent="0.25">
      <c r="A26" s="96"/>
      <c r="B26" s="97"/>
      <c r="C26" s="97"/>
      <c r="D26" s="97"/>
      <c r="E26" s="98"/>
      <c r="F26" s="98"/>
      <c r="G26" s="98"/>
      <c r="H26" s="38"/>
    </row>
    <row r="27" spans="1:8" x14ac:dyDescent="0.25">
      <c r="A27" s="96"/>
      <c r="B27" s="97"/>
      <c r="C27" s="97"/>
      <c r="D27" s="97"/>
      <c r="E27" s="97"/>
      <c r="F27" s="97"/>
      <c r="G27" s="97"/>
      <c r="H27" s="38"/>
    </row>
    <row r="28" spans="1:8" x14ac:dyDescent="0.25">
      <c r="A28" s="95"/>
      <c r="B28" s="95"/>
      <c r="C28" s="103"/>
      <c r="D28" s="103"/>
      <c r="E28" s="103"/>
      <c r="F28" s="95"/>
      <c r="G28" s="95"/>
      <c r="H28" s="38"/>
    </row>
    <row r="29" spans="1:8" x14ac:dyDescent="0.25">
      <c r="A29" s="96"/>
      <c r="B29" s="97"/>
      <c r="C29" s="104"/>
      <c r="D29" s="104"/>
      <c r="E29" s="105"/>
      <c r="F29" s="98"/>
      <c r="G29" s="98"/>
      <c r="H29" s="38"/>
    </row>
    <row r="30" spans="1:8" x14ac:dyDescent="0.25">
      <c r="A30" s="96"/>
      <c r="B30" s="97"/>
      <c r="C30" s="104"/>
      <c r="D30" s="104"/>
      <c r="E30" s="105"/>
      <c r="F30" s="98"/>
      <c r="G30" s="98"/>
      <c r="H30" s="38"/>
    </row>
    <row r="31" spans="1:8" x14ac:dyDescent="0.25">
      <c r="A31" s="96"/>
      <c r="B31" s="97"/>
      <c r="C31" s="104"/>
      <c r="D31" s="104"/>
      <c r="E31" s="105"/>
      <c r="F31" s="98"/>
      <c r="G31" s="98"/>
      <c r="H31" s="38"/>
    </row>
    <row r="32" spans="1:8" x14ac:dyDescent="0.25">
      <c r="A32" s="96"/>
      <c r="B32" s="97"/>
      <c r="C32" s="104"/>
      <c r="D32" s="104"/>
      <c r="E32" s="105"/>
      <c r="F32" s="98"/>
      <c r="G32" s="98"/>
      <c r="H32" s="38"/>
    </row>
    <row r="33" spans="1:8" x14ac:dyDescent="0.25">
      <c r="A33" s="96"/>
      <c r="B33" s="97"/>
      <c r="C33" s="97"/>
      <c r="D33" s="97"/>
      <c r="E33" s="97"/>
      <c r="F33" s="97"/>
      <c r="G33" s="97"/>
      <c r="H33" s="38"/>
    </row>
    <row r="34" spans="1:8" s="28" customFormat="1" x14ac:dyDescent="0.25">
      <c r="A34" s="96"/>
      <c r="B34" s="97"/>
      <c r="C34" s="97"/>
      <c r="D34" s="97"/>
      <c r="E34" s="97"/>
      <c r="F34" s="97"/>
      <c r="G34" s="97"/>
      <c r="H34" s="40"/>
    </row>
    <row r="35" spans="1:8" x14ac:dyDescent="0.25">
      <c r="A35" s="96"/>
      <c r="B35" s="97"/>
      <c r="C35" s="97"/>
      <c r="D35" s="97"/>
      <c r="E35" s="97"/>
      <c r="F35" s="97"/>
      <c r="G35" s="97"/>
      <c r="H35" s="38"/>
    </row>
    <row r="36" spans="1:8" x14ac:dyDescent="0.25">
      <c r="A36" s="96"/>
      <c r="B36" s="97"/>
      <c r="C36" s="97"/>
      <c r="D36" s="97"/>
      <c r="E36" s="97"/>
      <c r="F36" s="97"/>
      <c r="G36" s="97"/>
      <c r="H36" s="38"/>
    </row>
    <row r="37" spans="1:8" s="28" customFormat="1" x14ac:dyDescent="0.25">
      <c r="A37" s="96"/>
      <c r="B37" s="97"/>
      <c r="C37" s="97"/>
      <c r="D37" s="97"/>
      <c r="E37" s="97"/>
      <c r="F37" s="97"/>
      <c r="G37" s="97"/>
      <c r="H37" s="40"/>
    </row>
    <row r="38" spans="1:8" x14ac:dyDescent="0.25">
      <c r="A38" s="96"/>
      <c r="B38" s="97"/>
      <c r="C38" s="97"/>
      <c r="D38" s="97"/>
      <c r="E38" s="98"/>
      <c r="F38" s="98"/>
      <c r="G38" s="98"/>
      <c r="H38" s="31"/>
    </row>
    <row r="39" spans="1:8" x14ac:dyDescent="0.25">
      <c r="A39" s="96"/>
      <c r="B39" s="97"/>
      <c r="C39" s="97"/>
      <c r="D39" s="97"/>
      <c r="E39" s="98"/>
      <c r="F39" s="98"/>
      <c r="G39" s="98"/>
      <c r="H39" s="38"/>
    </row>
    <row r="40" spans="1:8" x14ac:dyDescent="0.25">
      <c r="A40" s="96"/>
      <c r="B40" s="97"/>
      <c r="C40" s="97"/>
      <c r="D40" s="97"/>
      <c r="E40" s="97"/>
      <c r="F40" s="97"/>
      <c r="G40" s="97"/>
      <c r="H40" s="38"/>
    </row>
    <row r="41" spans="1:8" x14ac:dyDescent="0.25">
      <c r="A41" s="96"/>
      <c r="B41" s="97"/>
      <c r="C41" s="97"/>
      <c r="D41" s="97"/>
      <c r="E41" s="97"/>
      <c r="F41" s="97"/>
      <c r="G41" s="97"/>
      <c r="H41" s="38"/>
    </row>
    <row r="42" spans="1:8" x14ac:dyDescent="0.25">
      <c r="A42" s="96"/>
      <c r="B42" s="97"/>
      <c r="C42" s="97"/>
      <c r="D42" s="97"/>
      <c r="E42" s="97"/>
      <c r="F42" s="97"/>
      <c r="G42" s="97"/>
    </row>
  </sheetData>
  <autoFilter ref="A1:S40" xr:uid="{00000000-0009-0000-0000-000004000000}"/>
  <conditionalFormatting sqref="D2">
    <cfRule type="duplicateValues" dxfId="9" priority="12"/>
  </conditionalFormatting>
  <conditionalFormatting sqref="D6">
    <cfRule type="duplicateValues" dxfId="8" priority="10"/>
  </conditionalFormatting>
  <conditionalFormatting sqref="D7">
    <cfRule type="duplicateValues" dxfId="7" priority="9"/>
  </conditionalFormatting>
  <conditionalFormatting sqref="D15">
    <cfRule type="duplicateValues" dxfId="6" priority="8"/>
  </conditionalFormatting>
  <conditionalFormatting sqref="D16">
    <cfRule type="duplicateValues" dxfId="5" priority="7"/>
  </conditionalFormatting>
  <conditionalFormatting sqref="D26">
    <cfRule type="duplicateValues" dxfId="4" priority="6"/>
  </conditionalFormatting>
  <conditionalFormatting sqref="D27">
    <cfRule type="duplicateValues" dxfId="3" priority="5"/>
  </conditionalFormatting>
  <conditionalFormatting sqref="D35">
    <cfRule type="duplicateValues" dxfId="2" priority="4"/>
  </conditionalFormatting>
  <conditionalFormatting sqref="D36">
    <cfRule type="duplicateValues" dxfId="1" priority="3"/>
  </conditionalFormatting>
  <conditionalFormatting sqref="D39">
    <cfRule type="duplicateValues" dxfId="0" priority="1"/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N20"/>
  <sheetViews>
    <sheetView workbookViewId="0">
      <selection activeCell="A18" sqref="A18:C19"/>
    </sheetView>
  </sheetViews>
  <sheetFormatPr defaultColWidth="8.85546875" defaultRowHeight="15" x14ac:dyDescent="0.25"/>
  <cols>
    <col min="1" max="1" width="27.42578125" style="1" bestFit="1" customWidth="1"/>
    <col min="2" max="2" width="50.5703125" style="1" bestFit="1" customWidth="1"/>
    <col min="3" max="4" width="8.85546875" style="1" customWidth="1"/>
    <col min="5" max="5" width="81.28515625" style="1" bestFit="1" customWidth="1"/>
    <col min="6" max="8" width="8.85546875" style="1" customWidth="1"/>
    <col min="9" max="9" width="16.28515625" style="1" bestFit="1" customWidth="1"/>
    <col min="10" max="10" width="27" style="1" bestFit="1" customWidth="1"/>
    <col min="11" max="12" width="8.85546875" style="1" customWidth="1"/>
    <col min="13" max="13" width="30.5703125" style="1" bestFit="1" customWidth="1"/>
    <col min="14" max="14" width="8.85546875" style="1" customWidth="1"/>
    <col min="15" max="16384" width="8.85546875" style="1"/>
  </cols>
  <sheetData>
    <row r="1" spans="1:14" s="73" customFormat="1" x14ac:dyDescent="0.25">
      <c r="A1" s="65" t="s">
        <v>72</v>
      </c>
      <c r="B1" s="65"/>
      <c r="C1" s="66"/>
      <c r="D1" s="1"/>
      <c r="E1" s="1" t="s">
        <v>128</v>
      </c>
      <c r="F1" s="1"/>
      <c r="G1" s="1"/>
      <c r="H1" s="1"/>
      <c r="I1" s="1" t="s">
        <v>52</v>
      </c>
      <c r="J1" s="1"/>
      <c r="K1" s="1"/>
      <c r="M1" s="74" t="s">
        <v>129</v>
      </c>
      <c r="N1" s="74"/>
    </row>
    <row r="2" spans="1:14" s="73" customFormat="1" x14ac:dyDescent="0.25">
      <c r="A2" s="101"/>
      <c r="B2" s="75"/>
      <c r="C2" s="76"/>
      <c r="D2" s="1"/>
      <c r="E2" s="75"/>
      <c r="F2" s="75"/>
      <c r="G2" s="75"/>
      <c r="H2" s="1"/>
      <c r="I2" s="81"/>
      <c r="J2" s="102"/>
      <c r="K2" s="76"/>
      <c r="M2" s="78"/>
      <c r="N2" s="77"/>
    </row>
    <row r="3" spans="1:14" s="73" customFormat="1" x14ac:dyDescent="0.25">
      <c r="A3" s="101"/>
      <c r="B3" s="75"/>
      <c r="C3" s="76"/>
      <c r="D3" s="1"/>
      <c r="E3" s="75"/>
      <c r="F3" s="75"/>
      <c r="G3" s="75"/>
      <c r="H3" s="1"/>
      <c r="I3" s="81"/>
      <c r="J3" s="82"/>
      <c r="K3" s="76"/>
      <c r="M3" s="78"/>
      <c r="N3" s="77"/>
    </row>
    <row r="4" spans="1:14" s="73" customFormat="1" x14ac:dyDescent="0.25">
      <c r="A4" s="101"/>
      <c r="B4" s="75"/>
      <c r="C4" s="76"/>
      <c r="D4" s="1"/>
      <c r="E4" s="75"/>
      <c r="F4" s="75"/>
      <c r="G4" s="75"/>
      <c r="H4" s="1"/>
      <c r="I4" s="81"/>
      <c r="J4" s="75"/>
      <c r="K4" s="76"/>
      <c r="M4" s="78"/>
      <c r="N4" s="77"/>
    </row>
    <row r="5" spans="1:14" s="73" customFormat="1" x14ac:dyDescent="0.25">
      <c r="A5" s="101"/>
      <c r="B5" s="75"/>
      <c r="C5" s="76"/>
      <c r="D5" s="1"/>
      <c r="E5" s="75"/>
      <c r="F5" s="75"/>
      <c r="G5" s="75"/>
      <c r="H5" s="1"/>
      <c r="I5" s="81"/>
      <c r="J5" s="75"/>
      <c r="K5" s="76"/>
      <c r="M5" s="78"/>
      <c r="N5" s="77"/>
    </row>
    <row r="6" spans="1:14" s="73" customFormat="1" x14ac:dyDescent="0.25">
      <c r="A6" s="101"/>
      <c r="B6" s="75"/>
      <c r="C6" s="76"/>
      <c r="D6" s="1"/>
      <c r="E6" s="75"/>
      <c r="F6" s="75"/>
      <c r="G6" s="75"/>
      <c r="H6" s="1"/>
      <c r="I6" s="1"/>
      <c r="J6" s="1"/>
      <c r="K6" s="1"/>
    </row>
    <row r="7" spans="1:14" s="73" customFormat="1" x14ac:dyDescent="0.25">
      <c r="A7" s="101"/>
      <c r="B7" s="75"/>
      <c r="C7" s="76"/>
      <c r="D7" s="1"/>
      <c r="E7" s="75"/>
      <c r="F7" s="75"/>
      <c r="G7" s="75"/>
      <c r="H7" s="1"/>
      <c r="I7" s="1"/>
      <c r="J7" s="1"/>
      <c r="K7" s="1"/>
    </row>
    <row r="8" spans="1:14" s="73" customFormat="1" x14ac:dyDescent="0.25">
      <c r="A8" s="75"/>
      <c r="B8" s="75"/>
      <c r="C8" s="76"/>
      <c r="D8" s="1"/>
      <c r="E8" s="1"/>
      <c r="F8" s="1"/>
      <c r="G8" s="1"/>
      <c r="H8" s="1"/>
      <c r="I8" s="1"/>
      <c r="J8" s="1"/>
      <c r="K8" s="1"/>
    </row>
    <row r="9" spans="1:14" s="73" customFormat="1" x14ac:dyDescent="0.25">
      <c r="A9" s="75"/>
      <c r="B9" s="75"/>
      <c r="C9" s="76"/>
      <c r="D9" s="1"/>
      <c r="E9" s="1"/>
      <c r="F9" s="1"/>
      <c r="G9" s="1"/>
      <c r="H9" s="1"/>
      <c r="I9" s="1"/>
      <c r="J9" s="1"/>
      <c r="K9" s="1"/>
    </row>
    <row r="10" spans="1:14" s="73" customFormat="1" x14ac:dyDescent="0.25">
      <c r="A10" s="75"/>
      <c r="B10" s="75"/>
      <c r="C10" s="76"/>
      <c r="D10" s="1"/>
      <c r="E10" s="1"/>
      <c r="F10" s="1"/>
      <c r="G10" s="1"/>
      <c r="H10" s="1"/>
      <c r="I10" s="1"/>
      <c r="J10" s="1"/>
      <c r="K10" s="1"/>
    </row>
    <row r="11" spans="1:14" s="73" customFormat="1" x14ac:dyDescent="0.25">
      <c r="A11" s="75"/>
      <c r="B11" s="75"/>
      <c r="C11" s="76"/>
      <c r="D11" s="1"/>
      <c r="E11" s="1"/>
      <c r="F11" s="1"/>
      <c r="G11" s="1"/>
      <c r="H11" s="1"/>
      <c r="I11" s="1"/>
      <c r="J11" s="1"/>
      <c r="K11" s="1"/>
    </row>
    <row r="12" spans="1:14" s="73" customFormat="1" x14ac:dyDescent="0.25">
      <c r="A12" s="75"/>
      <c r="B12" s="75"/>
      <c r="C12" s="76"/>
      <c r="D12" s="1"/>
      <c r="E12" s="1"/>
      <c r="F12" s="1"/>
      <c r="G12" s="1"/>
      <c r="H12" s="1"/>
      <c r="I12" s="1"/>
      <c r="J12" s="1"/>
      <c r="K12" s="1"/>
    </row>
    <row r="13" spans="1:14" s="73" customFormat="1" x14ac:dyDescent="0.25">
      <c r="A13" s="75"/>
      <c r="B13" s="75"/>
      <c r="C13" s="75"/>
      <c r="D13" s="1"/>
      <c r="E13" s="1"/>
      <c r="F13" s="1"/>
      <c r="G13" s="1"/>
      <c r="H13" s="1"/>
      <c r="I13" s="1"/>
      <c r="J13" s="1"/>
      <c r="K13" s="1"/>
    </row>
    <row r="14" spans="1:14" s="73" customFormat="1" x14ac:dyDescent="0.25">
      <c r="A14" s="1"/>
      <c r="C14" s="76">
        <f>SUM(C2:C13)</f>
        <v>0</v>
      </c>
      <c r="D14" s="1"/>
      <c r="E14" s="1"/>
      <c r="F14" s="76">
        <f>SUM(F2:F13)</f>
        <v>0</v>
      </c>
      <c r="G14" s="1"/>
      <c r="H14" s="1"/>
      <c r="I14" s="76">
        <f>SUM(I2:I13)</f>
        <v>0</v>
      </c>
      <c r="K14" s="1"/>
      <c r="N14" s="76">
        <f>SUM(N2:N13)</f>
        <v>0</v>
      </c>
    </row>
    <row r="15" spans="1:14" s="73" customFormat="1" x14ac:dyDescent="0.25">
      <c r="A15" s="1"/>
      <c r="D15" s="1"/>
      <c r="E15" s="1"/>
      <c r="F15" s="1"/>
      <c r="G15" s="1"/>
      <c r="H15" s="1"/>
      <c r="I15" s="1"/>
      <c r="K15" s="1"/>
    </row>
    <row r="16" spans="1:14" s="73" customFormat="1" x14ac:dyDescent="0.25">
      <c r="A16" s="1"/>
      <c r="D16" s="1"/>
      <c r="E16" s="1"/>
      <c r="F16" s="1"/>
      <c r="G16" s="1"/>
      <c r="H16" s="1"/>
      <c r="I16" s="1"/>
      <c r="K16" s="1"/>
    </row>
    <row r="17" spans="1:11" s="73" customFormat="1" x14ac:dyDescent="0.25">
      <c r="A17" s="73" t="s">
        <v>73</v>
      </c>
      <c r="D17" s="1"/>
      <c r="E17" s="1"/>
      <c r="F17" s="1"/>
      <c r="G17" s="1"/>
      <c r="H17" s="1"/>
      <c r="I17" s="1"/>
      <c r="J17" s="1"/>
      <c r="K17" s="1"/>
    </row>
    <row r="18" spans="1:11" s="73" customFormat="1" x14ac:dyDescent="0.25">
      <c r="A18" s="101"/>
      <c r="B18" s="75"/>
      <c r="C18" s="76"/>
      <c r="D18" s="1"/>
      <c r="E18" s="79"/>
      <c r="F18" s="79"/>
      <c r="G18" s="79"/>
      <c r="H18" s="79"/>
      <c r="I18" s="80"/>
      <c r="J18" s="1"/>
      <c r="K18" s="1"/>
    </row>
    <row r="19" spans="1:11" s="73" customFormat="1" x14ac:dyDescent="0.25">
      <c r="A19" s="101"/>
      <c r="B19" s="75"/>
      <c r="C19" s="76"/>
    </row>
    <row r="20" spans="1:11" s="73" customFormat="1" x14ac:dyDescent="0.25">
      <c r="C20" s="76">
        <f>SUM(C18:C19)</f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Display Name</t>
        </is>
      </c>
      <c r="B1" t="inlineStr">
        <is>
          <t>Month of Created At (Orders)</t>
        </is>
      </c>
      <c r="C1" t="inlineStr">
        <is>
          <t>Name (Users)</t>
        </is>
      </c>
      <c r="D1" t="inlineStr">
        <is>
          <t>order_type</t>
        </is>
      </c>
      <c r="E1" t="inlineStr">
        <is>
          <t>Ref (Orders)</t>
        </is>
      </c>
      <c r="F1" t="inlineStr">
        <is>
          <t>Year of Created At (Orders)</t>
        </is>
      </c>
      <c r="G1" t="inlineStr">
        <is>
          <t>Distinct count of Ref (Orders)</t>
        </is>
      </c>
    </row>
    <row r="2">
      <c r="A2" t="inlineStr">
        <is>
          <t>Afimilk  New Zealand</t>
        </is>
      </c>
      <c r="B2" t="inlineStr">
        <is>
          <t>מרץ</t>
        </is>
      </c>
      <c r="C2" t="inlineStr">
        <is>
          <t>Tomer Lev Pell-Duev</t>
        </is>
      </c>
      <c r="D2" t="inlineStr">
        <is>
          <t>Manual Order</t>
        </is>
      </c>
      <c r="E2" t="inlineStr">
        <is>
          <t>OceanNZTOUSMAR012026</t>
        </is>
      </c>
      <c r="F2" t="inlineStr">
        <is>
          <t>2026</t>
        </is>
      </c>
      <c r="G2" t="inlineStr">
        <is>
          <t>1</t>
        </is>
      </c>
    </row>
    <row r="3">
      <c r="A3" t="inlineStr">
        <is>
          <t>Afimilk  New Zealand</t>
        </is>
      </c>
      <c r="B3" t="inlineStr">
        <is>
          <t>מרץ</t>
        </is>
      </c>
      <c r="C3" t="inlineStr">
        <is>
          <t>Tomer Lev Pell-Duev</t>
        </is>
      </c>
      <c r="D3" t="inlineStr">
        <is>
          <t>Manual Order</t>
        </is>
      </c>
      <c r="E3" t="inlineStr">
        <is>
          <t>RTVSO25NZ0454-220326</t>
        </is>
      </c>
      <c r="F3" t="inlineStr">
        <is>
          <t>2026</t>
        </is>
      </c>
      <c r="G3" t="inlineStr">
        <is>
          <t>1</t>
        </is>
      </c>
    </row>
    <row r="4">
      <c r="A4" t="inlineStr">
        <is>
          <t>Afimilk  New Zealand</t>
        </is>
      </c>
      <c r="B4" t="inlineStr">
        <is>
          <t>מרץ</t>
        </is>
      </c>
      <c r="C4" t="inlineStr">
        <is>
          <t>Tomer Lev Pell-Duev</t>
        </is>
      </c>
      <c r="D4" t="inlineStr">
        <is>
          <t>Manual Order</t>
        </is>
      </c>
      <c r="E4" t="inlineStr">
        <is>
          <t>SO26NZ0035-1</t>
        </is>
      </c>
      <c r="F4" t="inlineStr">
        <is>
          <t>2026</t>
        </is>
      </c>
      <c r="G4" t="inlineStr">
        <is>
          <t>1</t>
        </is>
      </c>
    </row>
    <row r="5">
      <c r="A5" t="inlineStr">
        <is>
          <t>Afimilk  New Zealand</t>
        </is>
      </c>
      <c r="B5" t="inlineStr">
        <is>
          <t>מרץ</t>
        </is>
      </c>
      <c r="C5" t="inlineStr">
        <is>
          <t>Tomer Lev Pell-Duev</t>
        </is>
      </c>
      <c r="D5" t="inlineStr">
        <is>
          <t>Manual Order</t>
        </is>
      </c>
      <c r="E5" t="inlineStr">
        <is>
          <t>SO26NZ0035-1Return</t>
        </is>
      </c>
      <c r="F5" t="inlineStr">
        <is>
          <t>2026</t>
        </is>
      </c>
      <c r="G5" t="inlineStr">
        <is>
          <t>1</t>
        </is>
      </c>
    </row>
    <row r="6">
      <c r="A6" t="inlineStr">
        <is>
          <t>Afimilk  New Zealand</t>
        </is>
      </c>
      <c r="B6" t="inlineStr">
        <is>
          <t>מרץ</t>
        </is>
      </c>
      <c r="C6" t="inlineStr">
        <is>
          <t>Tomer Lev Pell-Duev</t>
        </is>
      </c>
      <c r="D6" t="inlineStr">
        <is>
          <t>Manual Order</t>
        </is>
      </c>
      <c r="E6" t="inlineStr">
        <is>
          <t>SO26NZ0036-1</t>
        </is>
      </c>
      <c r="F6" t="inlineStr">
        <is>
          <t>2026</t>
        </is>
      </c>
      <c r="G6" t="inlineStr">
        <is>
          <t>1</t>
        </is>
      </c>
    </row>
    <row r="7">
      <c r="A7" t="inlineStr">
        <is>
          <t>Afimilk  New Zealand</t>
        </is>
      </c>
      <c r="B7" t="inlineStr">
        <is>
          <t>מרץ</t>
        </is>
      </c>
      <c r="C7" t="inlineStr">
        <is>
          <t>Tomer Lev Pell-Duev</t>
        </is>
      </c>
      <c r="D7" t="inlineStr">
        <is>
          <t>Manual Order</t>
        </is>
      </c>
      <c r="E7" t="inlineStr">
        <is>
          <t>SO26NZ0036-1Return</t>
        </is>
      </c>
      <c r="F7" t="inlineStr">
        <is>
          <t>2026</t>
        </is>
      </c>
      <c r="G7" t="inlineStr">
        <is>
          <t>1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Type</t>
        </is>
      </c>
      <c r="B1" t="inlineStr">
        <is>
          <t>Ref</t>
        </is>
      </c>
      <c r="C1" t="inlineStr">
        <is>
          <t>OrderCount</t>
        </is>
      </c>
      <c r="D1" t="inlineStr">
        <is>
          <t>QTY</t>
        </is>
      </c>
    </row>
    <row r="2">
      <c r="A2" t="inlineStr">
        <is>
          <t>Type</t>
        </is>
      </c>
      <c r="B2" t="inlineStr">
        <is>
          <t>Ref (Orders)</t>
        </is>
      </c>
      <c r="C2" t="inlineStr">
        <is>
          <t>Order count</t>
        </is>
      </c>
      <c r="D2" t="inlineStr">
        <is>
          <t>QTY</t>
        </is>
      </c>
    </row>
    <row r="3">
      <c r="A3" t="inlineStr">
        <is>
          <t>Inbound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</row>
    <row r="4">
      <c r="A4" t="inlineStr">
        <is>
          <t/>
        </is>
      </c>
      <c r="B4" t="inlineStr">
        <is>
          <t>Total</t>
        </is>
      </c>
      <c r="C4">
        <v>6</v>
      </c>
      <c r="D4">
        <v>0</v>
      </c>
    </row>
    <row r="5">
      <c r="A5" t="inlineStr">
        <is>
          <t>Outbound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</row>
    <row r="6">
      <c r="A6" t="inlineStr">
        <is>
          <t/>
        </is>
      </c>
      <c r="B6" t="inlineStr">
        <is>
          <t>Total</t>
        </is>
      </c>
      <c r="C6">
        <v>12</v>
      </c>
      <c r="D6">
        <v>0</v>
      </c>
    </row>
    <row r="7">
      <c r="A7" t="inlineStr">
        <is>
          <t>Storage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</row>
    <row r="8">
      <c r="A8" t="inlineStr">
        <is>
          <t/>
        </is>
      </c>
      <c r="B8" t="inlineStr">
        <is>
          <t>Total</t>
        </is>
      </c>
      <c r="C8">
        <v>74</v>
      </c>
      <c r="D8">
        <v>3389</v>
      </c>
    </row>
    <row r="9">
      <c r="A9" t="inlineStr">
        <is>
          <t>VAS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</row>
    <row r="10">
      <c r="A10" t="inlineStr">
        <is>
          <t/>
        </is>
      </c>
      <c r="B10" t="inlineStr">
        <is>
          <t>Total</t>
        </is>
      </c>
      <c r="C10">
        <v>2</v>
      </c>
      <c r="D10">
        <v>0</v>
      </c>
    </row>
    <row r="11">
      <c r="A11" t="inlineStr">
        <is>
          <t>Management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>
        <v>6</v>
      </c>
      <c r="D12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Rates</vt:lpstr>
      <vt:lpstr>Storage </vt:lpstr>
      <vt:lpstr>Scans Inbound </vt:lpstr>
      <vt:lpstr>Scans Outbound </vt:lpstr>
      <vt:lpstr>Distribution outbound </vt:lpstr>
      <vt:lpstr>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Yossef</dc:creator>
  <cp:lastModifiedBy>Tomer Lev</cp:lastModifiedBy>
  <dcterms:created xsi:type="dcterms:W3CDTF">2022-10-18T12:46:56Z</dcterms:created>
  <dcterms:modified xsi:type="dcterms:W3CDTF">2026-04-13T16:56:53Z</dcterms:modified>
</cp:coreProperties>
</file>