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Rates" sheetId="1" r:id="rId1"/>
    <sheet name="Storage " sheetId="2" r:id="rId2"/>
    <sheet name="Scans Inbound " sheetId="3" r:id="rId3"/>
    <sheet name="Scans Outbound " sheetId="4" r:id="rId4"/>
    <sheet name="Distribution outbound " sheetId="5" r:id="rId5"/>
    <sheet name="VAS" sheetId="6" r:id="rId6"/>
    <sheet name="Management" sheetId="7" r:id="rId7"/>
    <sheet name="Analyze" sheetId="8" r:id="rId8"/>
  </sheets>
  <definedNames>
    <definedName name="_xlnm._FilterDatabase" localSheetId="4" hidden="1">'Distribution outbound '!A1:S40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-* #,##0.00_-;\-* #,##0.00_-;_-* &quot;-&quot;??_-;_-@_-"/>
    <numFmt numFmtId="56" formatCode="&quot;上午/下午 &quot;hh&quot;時&quot;mm&quot;分&quot;ss&quot;秒 &quot;"/>
    <numFmt numFmtId="164" formatCode="#,##0.00_ ;\-#,##0.00\ "/>
    <numFmt numFmtId="165" formatCode="[$NZD]\ #,##0.00"/>
    <numFmt numFmtId="166" formatCode="&quot;$&quot;#,##0.00_);[Red]\(&quot;$&quot;#,##0.00\)"/>
    <numFmt numFmtId="167" formatCode="[$USD]\ #,##0.00"/>
    <numFmt numFmtId="168" formatCode="#,##0_ ;\-#,##0\ "/>
    <numFmt numFmtId="169" formatCode="\$\ 0.00"/>
    <numFmt numFmtId="170" formatCode="\+0%;\-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 rightToLeft="0"/>
  </sheetViews>
  <sheetData>
    <row r="1">
      <c r="A1" t="str">
        <v>AFIMILK New Zealand - March   2026</v>
      </c>
    </row>
    <row r="2">
      <c r="A2" t="str">
        <v>Territory:</v>
      </c>
      <c r="B2" t="str">
        <v>New Zealand</v>
      </c>
    </row>
    <row r="3">
      <c r="A3" t="str">
        <v>Location:</v>
      </c>
      <c r="B3" t="str">
        <v>Auckland</v>
      </c>
    </row>
    <row r="4">
      <c r="A4" t="str">
        <v>Units Of Measurement:</v>
      </c>
      <c r="B4" t="str">
        <v>kg / km</v>
      </c>
    </row>
    <row r="5">
      <c r="A5" t="str">
        <v>Currency:</v>
      </c>
      <c r="B5" t="str">
        <v>NZD</v>
      </c>
    </row>
    <row r="6">
      <c r="A6" t="str">
        <v>Segment</v>
      </c>
      <c r="B6" t="str">
        <v>Clause</v>
      </c>
      <c r="C6" t="str">
        <v>Category</v>
      </c>
      <c r="D6" t="str">
        <v>Unit Of Measure</v>
      </c>
      <c r="E6" t="str">
        <v>Rate</v>
      </c>
      <c r="F6" t="str">
        <v>QTY</v>
      </c>
      <c r="G6" t="str">
        <v>Total</v>
      </c>
      <c r="H6" t="str">
        <v>Details</v>
      </c>
    </row>
    <row r="7">
      <c r="A7" t="str">
        <v>Inbound</v>
      </c>
      <c r="B7" t="str">
        <v>Per Order</v>
      </c>
      <c r="C7" t="str">
        <v>Regular</v>
      </c>
      <c r="D7" t="str">
        <v>Order</v>
      </c>
      <c r="E7">
        <v>15.68</v>
      </c>
      <c r="F7">
        <f>'Scans Inbound '!L1-F12</f>
        <v>0</v>
      </c>
      <c r="G7">
        <f>F7*E7</f>
        <v>0</v>
      </c>
      <c r="H7" t="str">
        <v>Scans Inbound' sheet</v>
      </c>
    </row>
    <row r="8">
      <c r="A8" t="str">
        <v>Inbound</v>
      </c>
      <c r="B8" t="str">
        <v>Per Unit Scan</v>
      </c>
      <c r="C8" t="str">
        <v>Per Item</v>
      </c>
      <c r="D8" t="str">
        <v>Line</v>
      </c>
      <c r="E8">
        <v>2.92</v>
      </c>
      <c r="F8">
        <f>'Scans Inbound '!Q2</f>
        <v>0</v>
      </c>
      <c r="G8">
        <f>F8*E8</f>
        <v>0</v>
      </c>
      <c r="H8" t="str">
        <v>Scans Inbound' sheet</v>
      </c>
    </row>
    <row r="9">
      <c r="A9" t="str">
        <v>Inbound</v>
      </c>
      <c r="B9" t="str">
        <v>Per Unit Scan</v>
      </c>
      <c r="C9" t="str">
        <v>Per Serial</v>
      </c>
      <c r="D9" t="str">
        <v>Serial</v>
      </c>
      <c r="E9">
        <v>2.92</v>
      </c>
      <c r="F9">
        <f>'Scans Inbound '!S2</f>
        <v>0</v>
      </c>
      <c r="G9">
        <f>F9*E9</f>
        <v>0</v>
      </c>
      <c r="H9" t="str">
        <v>Scans Inbound' sheet</v>
      </c>
    </row>
    <row r="10">
      <c r="A10" t="str">
        <v>Inbound</v>
      </c>
      <c r="B10" t="str">
        <v>Per Unit Scan</v>
      </c>
      <c r="C10" t="str">
        <v>Per Box</v>
      </c>
      <c r="D10" t="str">
        <v>Box</v>
      </c>
      <c r="E10">
        <v>2.92</v>
      </c>
      <c r="F10">
        <f>'Scans Inbound '!P2</f>
        <v>0</v>
      </c>
      <c r="G10">
        <f>F10*E10</f>
        <v>0</v>
      </c>
      <c r="H10" t="str">
        <v>Scans Inbound' sheet</v>
      </c>
    </row>
    <row r="11">
      <c r="A11" t="str">
        <v>Inbound</v>
      </c>
      <c r="B11" t="str">
        <v>Per Unit Scan</v>
      </c>
      <c r="C11" t="str">
        <v>Per Pallet</v>
      </c>
      <c r="D11" t="str">
        <v>Pallet</v>
      </c>
      <c r="E11">
        <v>4.7</v>
      </c>
      <c r="F11">
        <f>'Scans Inbound '!R2</f>
        <v>0</v>
      </c>
      <c r="G11">
        <f>F11*E11</f>
        <v>0</v>
      </c>
      <c r="H11" t="str">
        <v>Scans Inbound' sheet</v>
      </c>
    </row>
    <row r="12">
      <c r="A12" t="str">
        <v>Return</v>
      </c>
      <c r="B12" t="str">
        <v>Per Order</v>
      </c>
      <c r="C12" t="str">
        <v>Regular</v>
      </c>
      <c r="D12" t="str">
        <v>Order</v>
      </c>
      <c r="E12">
        <v>27.51</v>
      </c>
      <c r="F12">
        <f>'Scans Inbound '!N1</f>
        <v>0</v>
      </c>
      <c r="G12">
        <f>F12*E12</f>
        <v>0</v>
      </c>
      <c r="H12" t="str">
        <v>Scans' sheet (previously RMA Processing fee)</v>
      </c>
    </row>
    <row r="13">
      <c r="A13" t="str">
        <v>Return</v>
      </c>
      <c r="B13" t="str">
        <v>Per Unit Scan</v>
      </c>
      <c r="C13" t="str">
        <v>Per Item</v>
      </c>
      <c r="D13" t="str">
        <v>Line</v>
      </c>
      <c r="E13">
        <v>2.92</v>
      </c>
      <c r="F13">
        <f>'Scans Inbound '!I26</f>
        <v>0</v>
      </c>
      <c r="G13">
        <f>F13*E13</f>
        <v>0</v>
      </c>
      <c r="H13" t="str">
        <v>Scans Inbound' sheet</v>
      </c>
    </row>
    <row r="14">
      <c r="A14" t="str">
        <v>Return</v>
      </c>
      <c r="B14" t="str">
        <v>Per Unit Scan</v>
      </c>
      <c r="C14" t="str">
        <v>Per Serial</v>
      </c>
      <c r="D14" t="str">
        <v>Serial</v>
      </c>
      <c r="E14">
        <v>2.92</v>
      </c>
      <c r="F14">
        <v>0</v>
      </c>
      <c r="G14">
        <f>F14*E14</f>
        <v>0</v>
      </c>
      <c r="H14" t="str">
        <v>Scans Inbound' sheet</v>
      </c>
    </row>
    <row r="15">
      <c r="A15" t="str">
        <v>Return</v>
      </c>
      <c r="B15" t="str">
        <v>Per Unit Scan</v>
      </c>
      <c r="C15" t="str">
        <v>Per Box</v>
      </c>
      <c r="D15" t="str">
        <v>Box</v>
      </c>
      <c r="E15">
        <v>2.92</v>
      </c>
      <c r="F15">
        <f>'Scans Inbound '!I28</f>
        <v>0</v>
      </c>
      <c r="G15">
        <f>F15*E15</f>
        <v>0</v>
      </c>
      <c r="H15" t="str">
        <v>Scans Inbound' sheet</v>
      </c>
    </row>
    <row r="16">
      <c r="A16" t="str">
        <v>Return</v>
      </c>
      <c r="B16" t="str">
        <v>Per Unit Scan</v>
      </c>
      <c r="C16" t="str">
        <v>Per Pallet</v>
      </c>
      <c r="D16" t="str">
        <v>Pallet</v>
      </c>
      <c r="E16">
        <v>4.7</v>
      </c>
      <c r="F16">
        <f>'Scans Inbound '!I29</f>
        <v>0</v>
      </c>
      <c r="G16">
        <f>F16*E16</f>
        <v>0</v>
      </c>
      <c r="H16" t="str">
        <v>Scans' sheet</v>
      </c>
    </row>
    <row r="17">
      <c r="A17" t="str">
        <v>Outbound</v>
      </c>
      <c r="B17" t="str">
        <v>Per Order</v>
      </c>
      <c r="C17" t="str">
        <v>Domestic</v>
      </c>
      <c r="D17" t="str">
        <v>Order</v>
      </c>
      <c r="E17">
        <v>15.68</v>
      </c>
      <c r="F17">
        <f>'Scans Outbound '!M2-F18-F19</f>
        <v>0</v>
      </c>
      <c r="G17">
        <f>F17*E17</f>
        <v>0</v>
      </c>
      <c r="H17" t="str">
        <v>Scans Outbound' sheet</v>
      </c>
    </row>
    <row r="18">
      <c r="A18" t="str">
        <v>Outbound</v>
      </c>
      <c r="B18" t="str">
        <v>Per Order</v>
      </c>
      <c r="C18" t="str">
        <v>International</v>
      </c>
      <c r="D18" t="str">
        <v>Order</v>
      </c>
      <c r="E18">
        <v>15.68</v>
      </c>
      <c r="F18">
        <v>0</v>
      </c>
      <c r="G18">
        <f>F18*E18</f>
        <v>0</v>
      </c>
      <c r="H18" t="str">
        <v>Scans Outbound' sheet</v>
      </c>
    </row>
    <row r="19">
      <c r="A19" t="str">
        <v>Outbound</v>
      </c>
      <c r="B19" t="str">
        <v>Per Order</v>
      </c>
      <c r="C19" t="str">
        <v>Cross-Doc</v>
      </c>
      <c r="D19" t="str">
        <v>Order</v>
      </c>
      <c r="E19">
        <v>33.02</v>
      </c>
      <c r="F19">
        <v>0</v>
      </c>
      <c r="G19">
        <f>F19*E19</f>
        <v>0</v>
      </c>
      <c r="H19" t="str">
        <v>Scans Outbound' sheet</v>
      </c>
    </row>
    <row r="20">
      <c r="A20" t="str">
        <v>Outbound</v>
      </c>
      <c r="B20" t="str">
        <v>Per Unit Scan</v>
      </c>
      <c r="C20" t="str">
        <v>Per Item</v>
      </c>
      <c r="D20" t="str">
        <v>Line</v>
      </c>
      <c r="E20">
        <v>2.92</v>
      </c>
      <c r="F20">
        <f>'Scans Outbound '!R6</f>
        <v>0</v>
      </c>
      <c r="G20">
        <f>F20*E20</f>
        <v>0</v>
      </c>
      <c r="H20" t="str">
        <v>Scans Outbound' sheet</v>
      </c>
    </row>
    <row r="21">
      <c r="A21" t="str">
        <v>Outbound</v>
      </c>
      <c r="B21" t="str">
        <v>Per Unit Scan</v>
      </c>
      <c r="C21" t="str">
        <v>Per Serial</v>
      </c>
      <c r="D21" t="str">
        <v>Serial</v>
      </c>
      <c r="E21">
        <v>2.92</v>
      </c>
      <c r="F21">
        <f>'Scans Outbound '!T6</f>
        <v>0</v>
      </c>
      <c r="G21">
        <f>F21*E21</f>
        <v>0</v>
      </c>
      <c r="H21" t="str">
        <v>Scans Outbound' sheet</v>
      </c>
    </row>
    <row r="22">
      <c r="A22" t="str">
        <v>Outbound</v>
      </c>
      <c r="B22" t="str">
        <v>Per Unit Scan</v>
      </c>
      <c r="C22" t="str">
        <v>Per Box</v>
      </c>
      <c r="D22" t="str">
        <v>Box</v>
      </c>
      <c r="E22">
        <v>2.92</v>
      </c>
      <c r="F22">
        <f>'Scans Outbound '!Q6</f>
        <v>0</v>
      </c>
      <c r="G22">
        <f>F22*E22</f>
        <v>0</v>
      </c>
      <c r="H22" t="str">
        <v>Scans Outbound' sheet</v>
      </c>
    </row>
    <row r="23">
      <c r="A23" t="str">
        <v>Outbound</v>
      </c>
      <c r="B23" t="str">
        <v>Per Unit Scan</v>
      </c>
      <c r="C23" t="str">
        <v>Per Pallet</v>
      </c>
      <c r="D23" t="str">
        <v>Pallet</v>
      </c>
      <c r="E23">
        <v>4.7</v>
      </c>
      <c r="F23">
        <f>'Scans Outbound '!S6</f>
        <v>0</v>
      </c>
      <c r="G23">
        <f>F23*E23</f>
        <v>0</v>
      </c>
      <c r="H23" t="str">
        <v>Scans Outbound' sheet</v>
      </c>
    </row>
    <row r="24">
      <c r="A24" t="str">
        <v>Outbound</v>
      </c>
      <c r="B24" t="str">
        <v>Per Unit Scan</v>
      </c>
      <c r="C24" t="str">
        <v>Exws Handling</v>
      </c>
      <c r="D24" t="str">
        <v>Surcharge Per Order</v>
      </c>
      <c r="E24">
        <v>20.9</v>
      </c>
      <c r="F24">
        <v>0</v>
      </c>
      <c r="G24">
        <f>F24*E24</f>
        <v>0</v>
      </c>
      <c r="H24" t="str">
        <v>Scans Outbound' sheet</v>
      </c>
    </row>
    <row r="25">
      <c r="A25" t="str">
        <v>Storage</v>
      </c>
      <c r="B25" t="str">
        <v>Location</v>
      </c>
      <c r="C25" t="str">
        <v>Pallet</v>
      </c>
      <c r="D25" t="str">
        <v>Per Week</v>
      </c>
      <c r="E25">
        <v>6.33</v>
      </c>
      <c r="F25">
        <f>'Storage '!I5</f>
        <v>0</v>
      </c>
      <c r="G25">
        <f>F25*E25</f>
        <v>0</v>
      </c>
      <c r="H25" t="str">
        <v>Storage' sheet</v>
      </c>
    </row>
    <row r="26">
      <c r="A26" t="str">
        <v>Storage</v>
      </c>
      <c r="B26" t="str">
        <v>Location</v>
      </c>
      <c r="C26" t="str">
        <v>Shelf</v>
      </c>
      <c r="D26" t="str">
        <v>Per Week</v>
      </c>
      <c r="E26">
        <v>1.87</v>
      </c>
      <c r="F26">
        <f>'Storage '!J5</f>
        <v>0</v>
      </c>
      <c r="G26">
        <f>F26*E26</f>
        <v>0</v>
      </c>
      <c r="H26" t="str">
        <v>Storage' sheet</v>
      </c>
    </row>
    <row r="27">
      <c r="A27" t="str">
        <v>VAS</v>
      </c>
      <c r="B27" t="str">
        <v>MIR</v>
      </c>
      <c r="C27" t="str">
        <v>Exception Case</v>
      </c>
      <c r="D27" t="str">
        <v>Each</v>
      </c>
      <c r="E27">
        <v>20.9</v>
      </c>
      <c r="F27">
        <f>VAS!F14</f>
        <v>0</v>
      </c>
      <c r="G27">
        <f>F27*E27</f>
        <v>0</v>
      </c>
      <c r="H27" t="str">
        <v>VAS' sheet</v>
      </c>
    </row>
    <row r="28">
      <c r="A28" t="str">
        <v>VAS</v>
      </c>
      <c r="B28" t="str">
        <v>Labour</v>
      </c>
      <c r="C28" t="str">
        <v>WH Labour Hours</v>
      </c>
      <c r="D28" t="str">
        <v>Per Hour</v>
      </c>
      <c r="E28">
        <v>59</v>
      </c>
      <c r="F28">
        <v>0</v>
      </c>
      <c r="G28">
        <f>F28*E28</f>
        <v>0</v>
      </c>
      <c r="H28" t="str">
        <v>VAS' sheet</v>
      </c>
    </row>
    <row r="29">
      <c r="A29" t="str">
        <v>VAS</v>
      </c>
      <c r="B29" t="str">
        <v>Labour</v>
      </c>
      <c r="C29" t="str">
        <v>CS/Admin Labor Hours</v>
      </c>
      <c r="D29" t="str">
        <v>Per Hour</v>
      </c>
      <c r="E29">
        <v>75</v>
      </c>
      <c r="F29">
        <v>0</v>
      </c>
      <c r="G29">
        <f>F29*E29</f>
        <v>0</v>
      </c>
      <c r="H29" t="str">
        <v>VAS' sheet</v>
      </c>
    </row>
    <row r="30">
      <c r="A30" t="str">
        <v>VAS</v>
      </c>
      <c r="B30" t="str">
        <v>Labour</v>
      </c>
      <c r="C30" t="str">
        <v>Technician</v>
      </c>
      <c r="D30" t="str">
        <v>Per H (Min 2h)</v>
      </c>
      <c r="E30">
        <v>61.66</v>
      </c>
      <c r="F30">
        <v>0</v>
      </c>
      <c r="G30">
        <f>F30*E30</f>
        <v>0</v>
      </c>
    </row>
    <row r="31">
      <c r="A31" t="str">
        <v>VAS</v>
      </c>
      <c r="B31" t="str">
        <v>Handling</v>
      </c>
      <c r="C31" t="str">
        <v>Materials</v>
      </c>
      <c r="D31" t="str">
        <v>Cost +%</v>
      </c>
      <c r="E31">
        <v>0.15</v>
      </c>
      <c r="F31">
        <v>0</v>
      </c>
      <c r="G31">
        <f>F31*E31</f>
        <v>0</v>
      </c>
    </row>
    <row r="32">
      <c r="A32" t="str">
        <v>VAS</v>
      </c>
      <c r="B32" t="str">
        <v>Handling</v>
      </c>
      <c r="C32" t="str">
        <v>Wrapping</v>
      </c>
      <c r="D32" t="str">
        <v>Pallet</v>
      </c>
      <c r="E32">
        <v>6.27</v>
      </c>
      <c r="F32">
        <v>0</v>
      </c>
      <c r="G32">
        <f>F32*E32</f>
        <v>0</v>
      </c>
    </row>
    <row r="33">
      <c r="A33" t="str">
        <v>VAS</v>
      </c>
      <c r="B33" t="str">
        <v>Handling</v>
      </c>
      <c r="C33" t="str">
        <v>Repacking, Sorting Or Restacking</v>
      </c>
      <c r="D33" t="str">
        <v>Case</v>
      </c>
      <c r="E33">
        <v>2.09</v>
      </c>
      <c r="F33">
        <f>SUM('Scans Outbound '!G2:G19)</f>
        <v>0</v>
      </c>
      <c r="G33">
        <f>F33*E33</f>
        <v>0</v>
      </c>
      <c r="H33" t="str">
        <v>Scans' sheet</v>
      </c>
    </row>
    <row r="34">
      <c r="A34" t="str">
        <v>Container</v>
      </c>
      <c r="B34" t="str">
        <v>Handling</v>
      </c>
      <c r="C34" t="str">
        <v>ATF Fee</v>
      </c>
      <c r="D34" t="str">
        <v>Per Container</v>
      </c>
      <c r="E34">
        <v>135.85</v>
      </c>
      <c r="F34">
        <v>0</v>
      </c>
      <c r="G34">
        <f>F34*E34</f>
        <v>0</v>
      </c>
    </row>
    <row r="35">
      <c r="A35" t="str">
        <v>Container</v>
      </c>
      <c r="B35" t="str">
        <v>Handling</v>
      </c>
      <c r="C35" t="str">
        <v>Container Devanning - Palletised</v>
      </c>
      <c r="D35" t="str">
        <v>Per 20'</v>
      </c>
      <c r="E35">
        <v>355.3</v>
      </c>
      <c r="F35">
        <v>0</v>
      </c>
      <c r="G35">
        <f>F35*E35</f>
        <v>0</v>
      </c>
    </row>
    <row r="36">
      <c r="A36" t="str">
        <v>Container</v>
      </c>
      <c r="B36" t="str">
        <v>Handling</v>
      </c>
      <c r="C36" t="str">
        <v>Container Devanning - Loose</v>
      </c>
      <c r="D36" t="str">
        <v>Per 20'</v>
      </c>
      <c r="E36">
        <v>637.45</v>
      </c>
      <c r="F36">
        <v>0</v>
      </c>
      <c r="G36">
        <f>F36*E36</f>
        <v>0</v>
      </c>
    </row>
    <row r="37">
      <c r="A37" t="str">
        <v>Container</v>
      </c>
      <c r="B37" t="str">
        <v>Handling</v>
      </c>
      <c r="C37" t="str">
        <v>Container Devanning - Palletised</v>
      </c>
      <c r="D37" t="str">
        <v>Per 40'</v>
      </c>
      <c r="E37">
        <v>637.45</v>
      </c>
      <c r="F37">
        <v>0</v>
      </c>
      <c r="G37">
        <f>F37*E37</f>
        <v>0</v>
      </c>
    </row>
    <row r="38">
      <c r="A38" t="str">
        <v>Container</v>
      </c>
      <c r="B38" t="str">
        <v>Handling</v>
      </c>
      <c r="C38" t="str">
        <v>Container Devanning - Loose</v>
      </c>
      <c r="D38" t="str">
        <v>Per 40'</v>
      </c>
      <c r="E38">
        <v>919.6</v>
      </c>
      <c r="F38">
        <v>0</v>
      </c>
      <c r="G38">
        <f>F38*E38</f>
        <v>0</v>
      </c>
    </row>
    <row r="39">
      <c r="A39" t="str">
        <v>Management</v>
      </c>
      <c r="B39" t="str">
        <v>Miscellaneous</v>
      </c>
      <c r="C39" t="str">
        <v>Manual Order Creation Or Editing</v>
      </c>
      <c r="D39" t="str">
        <v>Order</v>
      </c>
      <c r="E39">
        <v>20.9</v>
      </c>
      <c r="F39">
        <f>VAS!C14</f>
        <v>0</v>
      </c>
      <c r="G39">
        <f>F39*E39</f>
        <v>0</v>
      </c>
      <c r="H39" t="str">
        <v>VAS' sheet</v>
      </c>
    </row>
    <row r="40">
      <c r="A40" t="str">
        <v>Management</v>
      </c>
      <c r="B40" t="str">
        <v>Miscellaneous</v>
      </c>
      <c r="C40" t="str">
        <v>Order Cancellation</v>
      </c>
      <c r="D40" t="str">
        <v>Order</v>
      </c>
      <c r="E40">
        <v>15.68</v>
      </c>
      <c r="F40">
        <f>VAS!C20</f>
        <v>0</v>
      </c>
      <c r="G40">
        <f>F40*E40</f>
        <v>0</v>
      </c>
    </row>
    <row r="41">
      <c r="A41" t="str">
        <v>Management</v>
      </c>
      <c r="B41" t="str">
        <v>Miscellaneous</v>
      </c>
      <c r="C41" t="str">
        <v>3rd Party Courier Account</v>
      </c>
      <c r="D41" t="str">
        <v>Label</v>
      </c>
      <c r="E41">
        <v>8.2</v>
      </c>
      <c r="F41">
        <v>0</v>
      </c>
      <c r="G41">
        <f>F41*E41</f>
        <v>0</v>
      </c>
    </row>
    <row r="42">
      <c r="A42" t="str">
        <v>Management</v>
      </c>
      <c r="B42" t="str">
        <v>Miscellaneous</v>
      </c>
      <c r="C42" t="str">
        <v>Pick Up Request</v>
      </c>
      <c r="D42" t="str">
        <v>Request</v>
      </c>
      <c r="E42">
        <v>14.63</v>
      </c>
      <c r="F42">
        <v>0</v>
      </c>
      <c r="G42">
        <f>F42*E42</f>
        <v>0</v>
      </c>
    </row>
    <row r="43">
      <c r="A43" t="str">
        <v>Management</v>
      </c>
      <c r="B43" t="str">
        <v>IT Programming</v>
      </c>
      <c r="C43" t="str">
        <v>System Development</v>
      </c>
      <c r="D43" t="str">
        <v>Per Hour</v>
      </c>
      <c r="E43">
        <v>182.88</v>
      </c>
      <c r="F43">
        <v>0</v>
      </c>
      <c r="G43">
        <f>F43*E43</f>
        <v>0</v>
      </c>
    </row>
    <row r="44">
      <c r="A44" t="str">
        <v>Management</v>
      </c>
      <c r="B44" t="str">
        <v>Management Fee</v>
      </c>
      <c r="C44" t="str">
        <v>Account Administration</v>
      </c>
      <c r="D44" t="str">
        <v>Month</v>
      </c>
      <c r="E44">
        <v>522.5</v>
      </c>
      <c r="F44">
        <v>1</v>
      </c>
      <c r="G44">
        <f>F44*E44</f>
        <v>522.5</v>
      </c>
    </row>
    <row r="45">
      <c r="A45" t="str">
        <v>Management</v>
      </c>
      <c r="B45" t="str">
        <v>Monthly Minimum Charge</v>
      </c>
      <c r="C45" t="str">
        <v>Minimum Fee</v>
      </c>
      <c r="D45" t="str">
        <v>Month</v>
      </c>
      <c r="E45" t="str">
        <v xml:space="preserve">2,090.00 </v>
      </c>
      <c r="F45">
        <v>0</v>
      </c>
      <c r="G45">
        <v>0</v>
      </c>
    </row>
    <row r="46">
      <c r="F46" t="str">
        <v>Total NZD</v>
      </c>
      <c r="G46">
        <f>SUM(G7:G42)</f>
        <v>0</v>
      </c>
    </row>
    <row r="47">
      <c r="F47" t="str">
        <v>Total USD</v>
      </c>
      <c r="G47">
        <f>SUM(G43:G45)</f>
        <v>522.5</v>
      </c>
    </row>
    <row r="50">
      <c r="B50" t="str">
        <v>Total</v>
      </c>
    </row>
    <row r="51">
      <c r="A51" t="str">
        <v>WH total</v>
      </c>
      <c r="B51">
        <f>G46</f>
        <v>0</v>
      </c>
    </row>
    <row r="52">
      <c r="A52" t="str">
        <v>Distribution</v>
      </c>
      <c r="B52">
        <f>'Distribution outbound '!L3</f>
        <v>0</v>
      </c>
      <c r="C52" t="str">
        <v>Distribution outbound' sheet</v>
      </c>
    </row>
    <row r="53">
      <c r="A53" t="str">
        <v>GST</v>
      </c>
      <c r="B53">
        <f>(B51+B52)*15%</f>
        <v>0</v>
      </c>
    </row>
    <row r="54">
      <c r="A54" t="str">
        <v>Total in NZD</v>
      </c>
      <c r="B54">
        <f>SUM(B51:B53)</f>
        <v>0</v>
      </c>
    </row>
    <row r="55">
      <c r="A55" t="str">
        <v xml:space="preserve">Monthly management fee </v>
      </c>
      <c r="B55">
        <f>G47</f>
        <v>522.5</v>
      </c>
    </row>
    <row r="58">
      <c r="A58" t="str">
        <v>WH total (including GST)</v>
      </c>
      <c r="B58">
        <f>B51*1.15</f>
        <v>0</v>
      </c>
    </row>
    <row r="59">
      <c r="A59" t="str">
        <v>Distribution (including GST)</v>
      </c>
      <c r="B59">
        <f>B52*1.15</f>
        <v>0</v>
      </c>
    </row>
    <row r="60">
      <c r="A60" t="str">
        <v>Total in NZD</v>
      </c>
      <c r="B60">
        <f>SUM(B58:B59)</f>
        <v>0</v>
      </c>
    </row>
    <row r="61">
      <c r="A61" t="str">
        <v xml:space="preserve">Monthly management fee </v>
      </c>
      <c r="B61">
        <v>522.5</v>
      </c>
    </row>
  </sheetData>
  <mergeCells count="1">
    <mergeCell ref="A1:H1"/>
  </mergeCells>
  <pageMargins left="0.7" right="0.7" top="0.75" bottom="0.75" header="0.3" footer="0.3"/>
  <ignoredErrors>
    <ignoredError numberStoredAsText="1" sqref="A1:H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 rightToLeft="0"/>
  </sheetViews>
  <sheetData>
    <row r="1">
      <c r="A1" t="str">
        <v>Name (Warehouses)</v>
      </c>
      <c r="B1" t="str">
        <v xml:space="preserve">Weeks </v>
      </c>
      <c r="C1" t="str">
        <v>Day of Created At (Stats)</v>
      </c>
      <c r="D1" t="str">
        <v>Locations of type Pallet</v>
      </c>
      <c r="E1" t="str">
        <v>Locations of type Shelf</v>
      </c>
    </row>
    <row r="2">
      <c r="A2" t="str">
        <v>Rohlig NZ</v>
      </c>
    </row>
    <row r="3">
      <c r="I3" t="str">
        <v>Locations of Pallet</v>
      </c>
      <c r="J3" t="str">
        <v>Locations of Shelf</v>
      </c>
    </row>
    <row r="5">
      <c r="H5" t="str">
        <v>Total</v>
      </c>
      <c r="I5">
        <f>D9+D17+D25+D33</f>
        <v>0</v>
      </c>
      <c r="J5">
        <f>E9+E17+E25+E33</f>
        <v>0</v>
      </c>
    </row>
    <row r="9">
      <c r="C9" t="str">
        <v>Total</v>
      </c>
    </row>
    <row r="17">
      <c r="C17" t="str">
        <v>Total</v>
      </c>
    </row>
    <row r="25">
      <c r="C25" t="str">
        <v>Total</v>
      </c>
    </row>
    <row r="33">
      <c r="C33" t="str">
        <v>Total</v>
      </c>
    </row>
    <row r="41">
      <c r="C41" t="str">
        <v>Total</v>
      </c>
    </row>
  </sheetData>
  <mergeCells count="6">
    <mergeCell ref="B34:B40"/>
    <mergeCell ref="A2:A41"/>
    <mergeCell ref="B10:B16"/>
    <mergeCell ref="B26:B32"/>
    <mergeCell ref="B18:B24"/>
    <mergeCell ref="B2:B8"/>
  </mergeCells>
  <pageMargins left="0.7" right="0.7" top="0.75" bottom="0.75" header="0.3" footer="0.3"/>
  <ignoredErrors>
    <ignoredError numberStoredAsText="1" sqref="A1:J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70"/>
  <sheetViews>
    <sheetView workbookViewId="0" rightToLeft="0"/>
  </sheetViews>
  <sheetData>
    <row r="1">
      <c r="A1" t="str">
        <v>inbound</v>
      </c>
      <c r="B1" t="str">
        <v>Sub Inventory</v>
      </c>
      <c r="C1" t="str">
        <v>Name (Service Levels)</v>
      </c>
      <c r="D1" t="str">
        <v>Ref (Orders)</v>
      </c>
      <c r="E1" t="str">
        <v>Inbound at</v>
      </c>
      <c r="F1" t="str">
        <v>Item</v>
      </c>
      <c r="G1" t="str">
        <v>box</v>
      </c>
      <c r="H1" t="str">
        <v>item</v>
      </c>
      <c r="I1" t="str">
        <v>pallet</v>
      </c>
      <c r="J1" t="str">
        <v>serial</v>
      </c>
      <c r="K1" t="str">
        <v>Inbound  orders total</v>
      </c>
      <c r="L1">
        <f>COUNTA(D2:D646)</f>
        <v>0</v>
      </c>
      <c r="M1" t="str">
        <v xml:space="preserve">RMA Processing fee </v>
      </c>
      <c r="N1">
        <v>0</v>
      </c>
      <c r="P1" t="str">
        <v>Box</v>
      </c>
      <c r="Q1" t="str">
        <v>item</v>
      </c>
      <c r="R1" t="str">
        <v>Pallet</v>
      </c>
      <c r="S1" t="str">
        <v>serial</v>
      </c>
    </row>
    <row r="2">
      <c r="O2" t="str">
        <v>inbound Total</v>
      </c>
      <c r="P2">
        <f>SUM(G2:G310)</f>
        <v>0</v>
      </c>
      <c r="Q2">
        <f>SUM(H2:H310)</f>
        <v>0</v>
      </c>
      <c r="R2">
        <f>SUM(I2:I310)</f>
        <v>0</v>
      </c>
      <c r="S2">
        <f>SUM(J2:J310)</f>
        <v>0</v>
      </c>
    </row>
  </sheetData>
  <pageMargins left="0.7" right="0.7" top="0.75" bottom="0.75" header="0.3" footer="0.3"/>
  <ignoredErrors>
    <ignoredError numberStoredAsText="1" sqref="A1:T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179"/>
  <sheetViews>
    <sheetView workbookViewId="0" rightToLeft="0"/>
  </sheetViews>
  <sheetData>
    <row r="1">
      <c r="A1" t="str">
        <v>Outbound</v>
      </c>
      <c r="B1" t="str">
        <v>Sub Inventory</v>
      </c>
      <c r="C1" t="str">
        <v>Name (Service Levels)</v>
      </c>
      <c r="D1" t="str">
        <v>Dom/Int'l</v>
      </c>
      <c r="E1" t="str">
        <v>Ref (Orders)</v>
      </c>
      <c r="F1" t="str">
        <v xml:space="preserve">Shipped out </v>
      </c>
      <c r="G1" t="str">
        <v>Repacking/Labeling</v>
      </c>
      <c r="H1" t="str">
        <v>box</v>
      </c>
      <c r="I1" t="str">
        <v>item</v>
      </c>
      <c r="J1" t="str">
        <v>pallet</v>
      </c>
      <c r="K1" t="str">
        <v>serial</v>
      </c>
    </row>
    <row r="2">
      <c r="L2" t="str">
        <v>Outbound  orders total</v>
      </c>
      <c r="M2">
        <f>COUNTA(E2:E977)-M4</f>
        <v>0</v>
      </c>
    </row>
    <row r="4">
      <c r="L4" t="str">
        <v>CD TOTAL</v>
      </c>
      <c r="M4">
        <v>0</v>
      </c>
    </row>
    <row r="5">
      <c r="P5" t="str">
        <v>Repacking/Labeling</v>
      </c>
      <c r="Q5" t="str">
        <v>box</v>
      </c>
      <c r="R5" t="str">
        <v>item</v>
      </c>
      <c r="S5" t="str">
        <v>pallet</v>
      </c>
      <c r="T5" t="str">
        <v>serial</v>
      </c>
    </row>
    <row r="6">
      <c r="O6" t="str">
        <v>Outbound Total</v>
      </c>
      <c r="P6">
        <f>SUM(G2:G25)</f>
        <v>0</v>
      </c>
      <c r="Q6">
        <f>SUM(H2:H25)</f>
        <v>0</v>
      </c>
      <c r="R6">
        <f>SUM(I2:I558)</f>
        <v>0</v>
      </c>
      <c r="S6">
        <f>SUM(J2:J558)</f>
        <v>0</v>
      </c>
      <c r="T6">
        <f>SUM(K2:K558)</f>
        <v>0</v>
      </c>
    </row>
  </sheetData>
  <pageMargins left="0.7" right="0.7" top="0.75" bottom="0.75" header="0.3" footer="0.3"/>
  <ignoredErrors>
    <ignoredError numberStoredAsText="1" sqref="A1:U17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Date</v>
      </c>
      <c r="B1" t="str">
        <v>Week Day</v>
      </c>
      <c r="C1" t="str">
        <v>Order Ref</v>
      </c>
      <c r="D1" t="str">
        <v>Track Refs</v>
      </c>
      <c r="E1" t="str">
        <v>charge_Rate</v>
      </c>
      <c r="F1" t="str">
        <v>Rate including fuel</v>
      </c>
      <c r="G1" t="str">
        <v>Total (Inc. GST)</v>
      </c>
    </row>
    <row r="2">
      <c r="L2" t="str">
        <v>Total:</v>
      </c>
    </row>
    <row r="3">
      <c r="L3">
        <f>SUM(F2:F50)</f>
        <v>0</v>
      </c>
    </row>
  </sheetData>
  <autoFilter ref="A1:S40"/>
  <pageMargins left="0.7" right="0.7" top="0.75" bottom="0.75" header="0.3" footer="0.3"/>
  <ignoredErrors>
    <ignoredError numberStoredAsText="1" sqref="A1:L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0"/>
  <sheetViews>
    <sheetView workbookViewId="0" rightToLeft="0"/>
  </sheetViews>
  <sheetData>
    <row r="1">
      <c r="A1" t="str">
        <v>Manual Order Creation Or Editing</v>
      </c>
      <c r="E1" t="str">
        <v>Exception Case MIR Ref</v>
      </c>
      <c r="I1" t="str">
        <v>WH Labour Hours</v>
      </c>
      <c r="M1" t="str">
        <v>Ibnound Sorting fee (If required)</v>
      </c>
    </row>
    <row r="14">
      <c r="C14">
        <f>SUM(C2:C13)</f>
        <v>0</v>
      </c>
      <c r="F14">
        <f>SUM(F2:F13)</f>
        <v>0</v>
      </c>
      <c r="I14">
        <f>SUM(I2:I13)</f>
        <v>0</v>
      </c>
      <c r="N14">
        <f>SUM(N2:N13)</f>
        <v>0</v>
      </c>
    </row>
    <row r="17">
      <c r="A17" t="str">
        <v>Order Cancellation</v>
      </c>
    </row>
    <row r="20">
      <c r="C20">
        <f>SUM(C18:C19)</f>
        <v>0</v>
      </c>
    </row>
  </sheetData>
  <pageMargins left="0.7" right="0.7" top="0.75" bottom="0.75" header="0.3" footer="0.3"/>
  <ignoredErrors>
    <ignoredError numberStoredAsText="1" sqref="A1:N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Display Name</v>
      </c>
      <c r="B1" t="str">
        <v>Month of Created At (Orders)</v>
      </c>
      <c r="C1" t="str">
        <v>Name (Users)</v>
      </c>
      <c r="D1" t="str">
        <v>order_type</v>
      </c>
      <c r="E1" t="str">
        <v>Ref (Orders)</v>
      </c>
      <c r="F1" t="str">
        <v>Year of Created At (Orders)</v>
      </c>
      <c r="G1" t="str">
        <v>Distinct count of Ref (Orders)</v>
      </c>
    </row>
    <row r="2">
      <c r="A2" t="str">
        <v>Afimilk  New Zealand</v>
      </c>
      <c r="B2" t="str">
        <v>מרץ</v>
      </c>
      <c r="C2" t="str">
        <v>Tomer Lev Pell-Duev</v>
      </c>
      <c r="D2" t="str">
        <v>Manual Order</v>
      </c>
      <c r="E2" t="str">
        <v>OceanNZTOUSMAR012026</v>
      </c>
      <c r="F2" t="str">
        <v>2026</v>
      </c>
      <c r="G2" t="str">
        <v>1</v>
      </c>
    </row>
    <row r="3">
      <c r="A3" t="str">
        <v>Afimilk  New Zealand</v>
      </c>
      <c r="B3" t="str">
        <v>מרץ</v>
      </c>
      <c r="C3" t="str">
        <v>Tomer Lev Pell-Duev</v>
      </c>
      <c r="D3" t="str">
        <v>Manual Order</v>
      </c>
      <c r="E3" t="str">
        <v>RTVSO25NZ0454-220326</v>
      </c>
      <c r="F3" t="str">
        <v>2026</v>
      </c>
      <c r="G3" t="str">
        <v>1</v>
      </c>
    </row>
    <row r="4">
      <c r="A4" t="str">
        <v>Afimilk  New Zealand</v>
      </c>
      <c r="B4" t="str">
        <v>מרץ</v>
      </c>
      <c r="C4" t="str">
        <v>Tomer Lev Pell-Duev</v>
      </c>
      <c r="D4" t="str">
        <v>Manual Order</v>
      </c>
      <c r="E4" t="str">
        <v>SO26NZ0035-1</v>
      </c>
      <c r="F4" t="str">
        <v>2026</v>
      </c>
      <c r="G4" t="str">
        <v>1</v>
      </c>
    </row>
    <row r="5">
      <c r="A5" t="str">
        <v>Afimilk  New Zealand</v>
      </c>
      <c r="B5" t="str">
        <v>מרץ</v>
      </c>
      <c r="C5" t="str">
        <v>Tomer Lev Pell-Duev</v>
      </c>
      <c r="D5" t="str">
        <v>Manual Order</v>
      </c>
      <c r="E5" t="str">
        <v>SO26NZ0035-1Return</v>
      </c>
      <c r="F5" t="str">
        <v>2026</v>
      </c>
      <c r="G5" t="str">
        <v>1</v>
      </c>
    </row>
    <row r="6">
      <c r="A6" t="str">
        <v>Afimilk  New Zealand</v>
      </c>
      <c r="B6" t="str">
        <v>מרץ</v>
      </c>
      <c r="C6" t="str">
        <v>Tomer Lev Pell-Duev</v>
      </c>
      <c r="D6" t="str">
        <v>Manual Order</v>
      </c>
      <c r="E6" t="str">
        <v>SO26NZ0036-1</v>
      </c>
      <c r="F6" t="str">
        <v>2026</v>
      </c>
      <c r="G6" t="str">
        <v>1</v>
      </c>
    </row>
    <row r="7">
      <c r="A7" t="str">
        <v>Afimilk  New Zealand</v>
      </c>
      <c r="B7" t="str">
        <v>מרץ</v>
      </c>
      <c r="C7" t="str">
        <v>Tomer Lev Pell-Duev</v>
      </c>
      <c r="D7" t="str">
        <v>Manual Order</v>
      </c>
      <c r="E7" t="str">
        <v>SO26NZ0036-1Return</v>
      </c>
      <c r="F7" t="str">
        <v>2026</v>
      </c>
      <c r="G7" t="str">
        <v>1</v>
      </c>
    </row>
  </sheetData>
  <ignoredErrors>
    <ignoredError numberStoredAsText="1" sqref="A1:G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 rightToLeft="0"/>
  </sheetViews>
  <sheetData>
    <row r="1">
      <c r="A1" t="str">
        <v>Type</v>
      </c>
      <c r="B1" t="str">
        <v>Ref (Orders)</v>
      </c>
      <c r="C1" t="str">
        <v>Order count</v>
      </c>
      <c r="D1" t="str">
        <v>QTY</v>
      </c>
    </row>
    <row r="2">
      <c r="A2" t="str">
        <v>Inbound</v>
      </c>
      <c r="B2" t="str">
        <v/>
      </c>
      <c r="C2" t="str">
        <v/>
      </c>
      <c r="D2" t="str">
        <v/>
      </c>
    </row>
    <row r="3">
      <c r="A3" t="str">
        <v/>
      </c>
      <c r="B3" t="str">
        <v>Total</v>
      </c>
      <c r="C3">
        <v>6</v>
      </c>
      <c r="D3">
        <v>0</v>
      </c>
    </row>
    <row r="4">
      <c r="A4" t="str">
        <v>Outbound</v>
      </c>
      <c r="B4" t="str">
        <v/>
      </c>
      <c r="C4" t="str">
        <v/>
      </c>
      <c r="D4" t="str">
        <v/>
      </c>
    </row>
    <row r="5">
      <c r="A5" t="str">
        <v/>
      </c>
      <c r="B5" t="str">
        <v>Total</v>
      </c>
      <c r="C5">
        <v>12</v>
      </c>
      <c r="D5">
        <v>0</v>
      </c>
    </row>
    <row r="6">
      <c r="A6" t="str">
        <v>Storage</v>
      </c>
      <c r="B6" t="str">
        <v/>
      </c>
      <c r="C6" t="str">
        <v/>
      </c>
      <c r="D6" t="str">
        <v/>
      </c>
    </row>
    <row r="7">
      <c r="A7" t="str">
        <v/>
      </c>
      <c r="B7" t="str">
        <v>Total</v>
      </c>
      <c r="C7">
        <v>74</v>
      </c>
      <c r="D7">
        <v>3389</v>
      </c>
    </row>
    <row r="8">
      <c r="A8" t="str">
        <v>VAS</v>
      </c>
      <c r="B8" t="str">
        <v/>
      </c>
      <c r="C8" t="str">
        <v/>
      </c>
      <c r="D8" t="str">
        <v/>
      </c>
    </row>
    <row r="9">
      <c r="A9" t="str">
        <v/>
      </c>
      <c r="B9" t="str">
        <v>Total</v>
      </c>
      <c r="C9">
        <v>2</v>
      </c>
      <c r="D9">
        <v>0</v>
      </c>
    </row>
    <row r="10">
      <c r="A10" t="str">
        <v>Management</v>
      </c>
      <c r="B10" t="str">
        <v/>
      </c>
      <c r="C10" t="str">
        <v/>
      </c>
      <c r="D10" t="str">
        <v/>
      </c>
    </row>
    <row r="11">
      <c r="A11" t="str">
        <v/>
      </c>
      <c r="B11" t="str">
        <v>Total</v>
      </c>
      <c r="C11">
        <v>6</v>
      </c>
      <c r="D11">
        <v>6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Rates</vt:lpstr>
      <vt:lpstr>Storage </vt:lpstr>
      <vt:lpstr>Scans Inbound </vt:lpstr>
      <vt:lpstr>Scans Outbound </vt:lpstr>
      <vt:lpstr>Distribution outbound </vt:lpstr>
      <vt:lpstr>VAS</vt:lpstr>
      <vt:lpstr>Management</vt:lpstr>
      <vt:lpstr>Analyze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2022-10-18T12:46:56Z</dcterms:created>
  <dcterms:modified xsi:type="dcterms:W3CDTF">2026-04-13T16:56:53Z</dcterms:modified>
  <cp:lastModifiedBy>Tomer Lev</cp:lastModifiedBy>
  <dc:creator>Eyal Yossef</dc:creator>
</cp:coreProperties>
</file>