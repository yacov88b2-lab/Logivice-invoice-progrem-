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Rates" state="visible" r:id="rId4"/>
    <sheet sheetId="2" name="Storage " state="visible" r:id="rId5"/>
    <sheet sheetId="3" name="Scans Inbound " state="visible" r:id="rId6"/>
    <sheet sheetId="4" name="Scans Outbound " state="visible" r:id="rId7"/>
    <sheet sheetId="5" name="Distribution outbound " state="visible" r:id="rId8"/>
    <sheet sheetId="6" name="VAS" state="visible" r:id="rId9"/>
    <sheet sheetId="7" name="Management" state="visible" r:id="rId10"/>
    <sheet sheetId="8" name="Analyze" state="visible" r:id="rId11"/>
  </sheets>
  <definedNames>
    <definedName name="_xlnm._FilterDatabase">'Distribution outbound '!$A$1:$S$40</definedName>
  </definedNames>
  <calcPr calcId="171027"/>
</workbook>
</file>

<file path=xl/sharedStrings.xml><?xml version="1.0" encoding="utf-8"?>
<sst xmlns="http://schemas.openxmlformats.org/spreadsheetml/2006/main" count="358" uniqueCount="154">
  <si>
    <t>AFIMILK New Zealand - March   2026</t>
  </si>
  <si>
    <t>Territory:</t>
  </si>
  <si>
    <t>New Zealand</t>
  </si>
  <si>
    <t>Location:</t>
  </si>
  <si>
    <t>Auckland</t>
  </si>
  <si>
    <t>Units Of Measurement:</t>
  </si>
  <si>
    <t>kg / km</t>
  </si>
  <si>
    <t>Currency:</t>
  </si>
  <si>
    <t>NZD</t>
  </si>
  <si>
    <t>Segment</t>
  </si>
  <si>
    <t>Clause</t>
  </si>
  <si>
    <t>Category</t>
  </si>
  <si>
    <t>Unit Of Measure</t>
  </si>
  <si>
    <t>Rate</t>
  </si>
  <si>
    <t>QTY</t>
  </si>
  <si>
    <t>Total</t>
  </si>
  <si>
    <t>Details</t>
  </si>
  <si>
    <t>Inbound</t>
  </si>
  <si>
    <t>Per Order</t>
  </si>
  <si>
    <t>Regular</t>
  </si>
  <si>
    <t>Order</t>
  </si>
  <si>
    <t>Scans Inbound' sheet</t>
  </si>
  <si>
    <t>Per Unit Scan</t>
  </si>
  <si>
    <t>Per Item</t>
  </si>
  <si>
    <t>Line</t>
  </si>
  <si>
    <t>Per Serial</t>
  </si>
  <si>
    <t>Serial</t>
  </si>
  <si>
    <t>Per Box</t>
  </si>
  <si>
    <t>Box</t>
  </si>
  <si>
    <t>Per Pallet</t>
  </si>
  <si>
    <t>Pallet</t>
  </si>
  <si>
    <t>Return</t>
  </si>
  <si>
    <t>Scans' sheet (previously RMA Processing fee)</t>
  </si>
  <si>
    <t>Scans' sheet</t>
  </si>
  <si>
    <t>Outbound</t>
  </si>
  <si>
    <t>Domestic</t>
  </si>
  <si>
    <t>Scans Outbound' sheet</t>
  </si>
  <si>
    <t>International</t>
  </si>
  <si>
    <t>Cross-Doc</t>
  </si>
  <si>
    <t>Exws Handling</t>
  </si>
  <si>
    <t>Surcharge Per Order</t>
  </si>
  <si>
    <t>Storage</t>
  </si>
  <si>
    <t>Location</t>
  </si>
  <si>
    <t>Per Week</t>
  </si>
  <si>
    <t>Storage' sheet</t>
  </si>
  <si>
    <t>Shelf</t>
  </si>
  <si>
    <t>VAS</t>
  </si>
  <si>
    <t>MIR</t>
  </si>
  <si>
    <t>Exception Case</t>
  </si>
  <si>
    <t>Each</t>
  </si>
  <si>
    <t>VAS' sheet</t>
  </si>
  <si>
    <t>Labour</t>
  </si>
  <si>
    <t>WH Labour Hours</t>
  </si>
  <si>
    <t>Per Hour</t>
  </si>
  <si>
    <t>CS/Admin Labor Hours</t>
  </si>
  <si>
    <t>Technician</t>
  </si>
  <si>
    <t>Per H (Min 2h)</t>
  </si>
  <si>
    <t>Handling</t>
  </si>
  <si>
    <t>Materials</t>
  </si>
  <si>
    <t>Cost +%</t>
  </si>
  <si>
    <t>Wrapping</t>
  </si>
  <si>
    <t>Repacking, Sorting Or Restacking</t>
  </si>
  <si>
    <t>Case</t>
  </si>
  <si>
    <t>Container</t>
  </si>
  <si>
    <t>ATF Fee</t>
  </si>
  <si>
    <t>Per Container</t>
  </si>
  <si>
    <t>Container Devanning - Palletised</t>
  </si>
  <si>
    <t>Per 20'</t>
  </si>
  <si>
    <t>Container Devanning - Loose</t>
  </si>
  <si>
    <t>Per 40'</t>
  </si>
  <si>
    <t>Management</t>
  </si>
  <si>
    <t>Miscellaneous</t>
  </si>
  <si>
    <t>Manual Order Creation Or Editing</t>
  </si>
  <si>
    <t>Order Cancellation</t>
  </si>
  <si>
    <t>3rd Party Courier Account</t>
  </si>
  <si>
    <t>Label</t>
  </si>
  <si>
    <t>Pick Up Request</t>
  </si>
  <si>
    <t>Request</t>
  </si>
  <si>
    <t>IT Programming</t>
  </si>
  <si>
    <t>System Development</t>
  </si>
  <si>
    <t>Management Fee</t>
  </si>
  <si>
    <t>Account Administration</t>
  </si>
  <si>
    <t>Month</t>
  </si>
  <si>
    <t>Monthly Minimum Charge</t>
  </si>
  <si>
    <t>Minimum Fee</t>
  </si>
  <si>
    <t xml:space="preserve">2,090.00 </t>
  </si>
  <si>
    <t>Total NZD</t>
  </si>
  <si>
    <t>Total USD</t>
  </si>
  <si>
    <t>WH total</t>
  </si>
  <si>
    <t>Distribution</t>
  </si>
  <si>
    <t>Distribution outbound' sheet</t>
  </si>
  <si>
    <t>GST</t>
  </si>
  <si>
    <t>Total in NZD</t>
  </si>
  <si>
    <t xml:space="preserve">Monthly management fee </t>
  </si>
  <si>
    <t>WH total (including GST)</t>
  </si>
  <si>
    <t>Distribution (including GST)</t>
  </si>
  <si>
    <t>Name (Warehouses)</t>
  </si>
  <si>
    <t xml:space="preserve">Weeks </t>
  </si>
  <si>
    <t>Day of Created At (Stats)</t>
  </si>
  <si>
    <t>Locations of type Pallet</t>
  </si>
  <si>
    <t>Locations of type Shelf</t>
  </si>
  <si>
    <t>Rohlig NZ</t>
  </si>
  <si>
    <t>Locations of Pallet</t>
  </si>
  <si>
    <t>Locations of Shelf</t>
  </si>
  <si>
    <t>inbound</t>
  </si>
  <si>
    <t>Sub Inventory</t>
  </si>
  <si>
    <t>Name (Service Levels)</t>
  </si>
  <si>
    <t>Ref (Orders)</t>
  </si>
  <si>
    <t>Inbound at</t>
  </si>
  <si>
    <t>Item</t>
  </si>
  <si>
    <t>box</t>
  </si>
  <si>
    <t>item</t>
  </si>
  <si>
    <t>pallet</t>
  </si>
  <si>
    <t>serial</t>
  </si>
  <si>
    <t>Inbound  orders total</t>
  </si>
  <si>
    <t xml:space="preserve">RMA Processing fee </t>
  </si>
  <si>
    <t>inbound Total</t>
  </si>
  <si>
    <t>Dom/Int'l</t>
  </si>
  <si>
    <t xml:space="preserve">Shipped out </t>
  </si>
  <si>
    <t>Repacking/Labeling</t>
  </si>
  <si>
    <t>Outbound  orders total</t>
  </si>
  <si>
    <t>CD TOTAL</t>
  </si>
  <si>
    <t>Outbound Total</t>
  </si>
  <si>
    <t>Date</t>
  </si>
  <si>
    <t>Week Day</t>
  </si>
  <si>
    <t>Order Ref</t>
  </si>
  <si>
    <t>Track Refs</t>
  </si>
  <si>
    <t>charge_Rate</t>
  </si>
  <si>
    <t>Rate including fuel</t>
  </si>
  <si>
    <t>Total (Inc. GST)</t>
  </si>
  <si>
    <t>Total:</t>
  </si>
  <si>
    <t>Exception Case MIR Ref</t>
  </si>
  <si>
    <t>Ibnound Sorting fee (If required)</t>
  </si>
  <si>
    <t>Display Name</t>
  </si>
  <si>
    <t>Month of Created At (Orders)</t>
  </si>
  <si>
    <t>Name (Users)</t>
  </si>
  <si>
    <t>order_type</t>
  </si>
  <si>
    <t>Year of Created At (Orders)</t>
  </si>
  <si>
    <t>Distinct count of Ref (Orders)</t>
  </si>
  <si>
    <t>Afimilk  New Zealand</t>
  </si>
  <si>
    <t>מרץ</t>
  </si>
  <si>
    <t>Tomer Lev Pell-Duev</t>
  </si>
  <si>
    <t>Manual Order</t>
  </si>
  <si>
    <t>OceanNZTOUSMAR012026</t>
  </si>
  <si>
    <t>2026</t>
  </si>
  <si>
    <t>1</t>
  </si>
  <si>
    <t>RTVSO25NZ0454-220326</t>
  </si>
  <si>
    <t>SO26NZ0035-1</t>
  </si>
  <si>
    <t>SO26NZ0035-1Return</t>
  </si>
  <si>
    <t>SO26NZ0036-1</t>
  </si>
  <si>
    <t>SO26NZ0036-1Return</t>
  </si>
  <si>
    <t>Type</t>
  </si>
  <si>
    <t>Order 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</si>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</sst>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NZD] #,##0.00"/>
    <numFmt numFmtId="165" formatCode="+0%;-0%"/>
    <numFmt numFmtId="166" formatCode="$ 0.00"/>
    <numFmt numFmtId="167" formatCode="&quot;$&quot;#,##0.00_);[Red](&quot;$&quot;#,##0.00)"/>
    <numFmt numFmtId="168" formatCode="[$USD] #,##0.00"/>
    <numFmt numFmtId="169" formatCode="#,##0.00_ ;-#,##0.00 "/>
    <numFmt numFmtId="170" formatCode="#,##0_ ;-#,##0 "/>
  </numFmts>
  <fonts count="31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b/>
      <family val="2"/>
      <sz val="12"/>
      <name val="Calibri"/>
    </font>
    <font>
      <b/>
      <color rgb="FFFFFFFF"/>
      <family val="2"/>
      <sz val="12"/>
      <name val="Calibri"/>
    </font>
    <font>
      <family val="2"/>
      <sz val="12"/>
      <name val="Calibri"/>
    </font>
    <font>
      <family val="2"/>
      <scheme val="minor"/>
      <sz val="12"/>
      <name val="Calibri"/>
    </font>
    <font>
      <color theme="1"/>
      <family val="2"/>
      <sz val="12"/>
      <name val="Calibri"/>
    </font>
    <font>
      <b/>
      <family val="1"/>
      <sz val="12"/>
      <name val="Calibri"/>
    </font>
    <font>
      <color rgb="FF000000"/>
      <family val="2"/>
      <sz val="12"/>
      <name val="Calibri"/>
    </font>
    <font>
      <family val="2"/>
      <scheme val="minor"/>
      <sz val="10"/>
      <name val="Calibri"/>
    </font>
    <font>
      <b/>
      <color rgb="FF000000"/>
      <family val="2"/>
      <sz val="12"/>
      <name val="Calibri"/>
    </font>
    <font>
      <u/>
      <color theme="10"/>
      <family val="2"/>
      <scheme val="minor"/>
      <sz val="11"/>
      <name val="Calibri"/>
    </font>
    <font>
      <color rgb="FF000000"/>
      <family val="2"/>
      <sz val="9"/>
      <name val="Arial"/>
    </font>
    <font>
      <b/>
      <color theme="1"/>
      <family val="2"/>
      <scheme val="minor"/>
      <sz val="11"/>
      <name val="Calibri"/>
    </font>
    <font>
      <family val="2"/>
      <sz val="16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family val="2"/>
      <sz val="12"/>
      <name val="Arial"/>
    </font>
    <font>
      <color rgb="FF000000"/>
      <family val="2"/>
      <sz val="12"/>
      <name val="Arial"/>
    </font>
    <font>
      <family val="2"/>
      <scheme val="minor"/>
      <sz val="16"/>
      <name val="Calibri"/>
    </font>
    <font>
      <family val="2"/>
      <sz val="11"/>
      <name val="Calibri"/>
    </font>
    <font>
      <b/>
      <family val="2"/>
      <sz val="12"/>
      <name val="Arial"/>
    </font>
    <font>
      <family val="2"/>
      <sz val="11"/>
      <name val="Arial"/>
    </font>
    <font>
      <color rgb="FFFF0000"/>
      <family val="2"/>
      <sz val="11"/>
      <name val="Calibri"/>
    </font>
    <font>
      <color rgb="FFFF0000"/>
      <family val="2"/>
      <sz val="11"/>
      <name val="Arial"/>
    </font>
    <font>
      <family val="2"/>
      <sz val="14"/>
      <name val="Arial"/>
    </font>
    <font>
      <color rgb="FF000000"/>
      <family val="2"/>
      <sz val="11"/>
      <name val="Calibri"/>
    </font>
    <font>
      <family val="2"/>
      <scheme val="minor"/>
      <sz val="11"/>
      <name val="Calibri"/>
    </font>
    <font>
      <color theme="1"/>
      <family val="2"/>
      <sz val="11"/>
      <name val="Calibri"/>
    </font>
    <font>
      <color rgb="FF000000"/>
      <family val="2"/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2F5395"/>
      </patternFill>
    </fill>
    <fill>
      <patternFill patternType="solid">
        <fgColor rgb="FF305496"/>
        <bgColor rgb="FF000000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FBFB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E699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/>
    </xf>
    <xf numFmtId="166" fontId="9" fillId="0" borderId="1" xfId="0" applyNumberFormat="1" applyFont="1" applyBorder="1" applyAlignment="1">
      <alignment horizontal="center" vertical="center" shrinkToFit="1"/>
    </xf>
    <xf numFmtId="166" fontId="9" fillId="4" borderId="1" xfId="0" applyNumberFormat="1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167" fontId="1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164" fontId="1" fillId="5" borderId="7" xfId="0" applyNumberFormat="1" applyFont="1" applyFill="1" applyBorder="1"/>
    <xf numFmtId="0" fontId="1" fillId="0" borderId="6" xfId="0" applyFont="1" applyBorder="1"/>
    <xf numFmtId="164" fontId="1" fillId="0" borderId="7" xfId="0" applyNumberFormat="1" applyFont="1" applyBorder="1"/>
    <xf numFmtId="0" fontId="1" fillId="5" borderId="8" xfId="0" applyFont="1" applyFill="1" applyBorder="1"/>
    <xf numFmtId="164" fontId="1" fillId="5" borderId="9" xfId="0" applyNumberFormat="1" applyFont="1" applyFill="1" applyBorder="1"/>
    <xf numFmtId="0" fontId="2" fillId="5" borderId="4" xfId="0" applyFont="1" applyFill="1" applyBorder="1"/>
    <xf numFmtId="164" fontId="2" fillId="5" borderId="5" xfId="0" applyNumberFormat="1" applyFont="1" applyFill="1" applyBorder="1"/>
    <xf numFmtId="0" fontId="2" fillId="5" borderId="10" xfId="0" applyFont="1" applyFill="1" applyBorder="1"/>
    <xf numFmtId="168" fontId="2" fillId="5" borderId="11" xfId="0" applyNumberFormat="1" applyFont="1" applyFill="1" applyBorder="1"/>
    <xf numFmtId="0" fontId="1" fillId="0" borderId="0" xfId="0" applyFont="1"/>
    <xf numFmtId="0" fontId="12" fillId="0" borderId="0" xfId="0" applyFont="1"/>
    <xf numFmtId="0" fontId="1" fillId="7" borderId="6" xfId="0" applyFont="1" applyFill="1" applyBorder="1"/>
    <xf numFmtId="164" fontId="1" fillId="7" borderId="7" xfId="0" applyNumberFormat="1" applyFont="1" applyFill="1" applyBorder="1"/>
    <xf numFmtId="0" fontId="1" fillId="8" borderId="6" xfId="0" applyFont="1" applyFill="1" applyBorder="1"/>
    <xf numFmtId="164" fontId="1" fillId="8" borderId="7" xfId="0" applyNumberFormat="1" applyFont="1" applyFill="1" applyBorder="1"/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 vertical="top"/>
    </xf>
    <xf numFmtId="0" fontId="13" fillId="0" borderId="12" xfId="0" applyFont="1" applyBorder="1" applyAlignment="1">
      <alignment horizontal="left" vertical="top"/>
    </xf>
    <xf numFmtId="39" fontId="13" fillId="0" borderId="12" xfId="0" applyNumberFormat="1" applyFont="1" applyBorder="1" applyAlignment="1">
      <alignment vertical="center"/>
    </xf>
    <xf numFmtId="39" fontId="13" fillId="0" borderId="0" xfId="0" applyNumberFormat="1" applyFont="1" applyAlignment="1">
      <alignment vertical="center"/>
    </xf>
    <xf numFmtId="169" fontId="0" fillId="0" borderId="0" xfId="0" applyNumberFormat="1"/>
    <xf numFmtId="0" fontId="0" fillId="0" borderId="12" xfId="0" applyBorder="1"/>
    <xf numFmtId="0" fontId="0" fillId="0" borderId="1" xfId="0" applyBorder="1"/>
    <xf numFmtId="0" fontId="14" fillId="0" borderId="1" xfId="0" applyFont="1" applyBorder="1"/>
    <xf numFmtId="0" fontId="0" fillId="9" borderId="1" xfId="0" applyFill="1" applyBorder="1"/>
    <xf numFmtId="170" fontId="0" fillId="9" borderId="1" xfId="0" applyNumberFormat="1" applyFill="1" applyBorder="1"/>
    <xf numFmtId="0" fontId="13" fillId="10" borderId="12" xfId="0" applyFont="1" applyFill="1" applyBorder="1" applyAlignment="1">
      <alignment horizontal="left" vertical="top"/>
    </xf>
    <xf numFmtId="39" fontId="13" fillId="10" borderId="12" xfId="0" applyNumberFormat="1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15" fillId="0" borderId="0" xfId="0" applyFont="1"/>
    <xf numFmtId="0" fontId="16" fillId="0" borderId="12" xfId="0" applyFont="1" applyBorder="1" applyAlignment="1">
      <alignment horizontal="left"/>
    </xf>
    <xf numFmtId="0" fontId="16" fillId="11" borderId="3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left"/>
    </xf>
    <xf numFmtId="0" fontId="16" fillId="12" borderId="1" xfId="0" applyFont="1" applyFill="1" applyBorder="1"/>
    <xf numFmtId="0" fontId="18" fillId="0" borderId="12" xfId="0" applyFont="1" applyBorder="1"/>
    <xf numFmtId="0" fontId="16" fillId="4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5" fillId="0" borderId="1" xfId="0" applyFont="1" applyBorder="1"/>
    <xf numFmtId="0" fontId="19" fillId="0" borderId="1" xfId="0" applyFont="1" applyBorder="1" applyAlignment="1">
      <alignment vertical="top"/>
    </xf>
    <xf numFmtId="0" fontId="19" fillId="0" borderId="1" xfId="0" applyFont="1" applyBorder="1" applyAlignment="1">
      <alignment horizontal="left" vertical="top"/>
    </xf>
    <xf numFmtId="0" fontId="1" fillId="0" borderId="1" xfId="0" applyFont="1" applyBorder="1"/>
    <xf numFmtId="0" fontId="19" fillId="0" borderId="1" xfId="0" applyFont="1" applyBorder="1" applyAlignment="1">
      <alignment vertical="center"/>
    </xf>
    <xf numFmtId="0" fontId="16" fillId="13" borderId="3" xfId="0" applyFont="1" applyFill="1" applyBorder="1" applyAlignment="1">
      <alignment horizontal="left"/>
    </xf>
    <xf numFmtId="0" fontId="20" fillId="13" borderId="1" xfId="0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3" fillId="0" borderId="0" xfId="0" applyFont="1"/>
    <xf numFmtId="2" fontId="26" fillId="0" borderId="0" xfId="0" applyNumberFormat="1" applyFont="1"/>
    <xf numFmtId="14" fontId="27" fillId="0" borderId="12" xfId="0" applyNumberFormat="1" applyFont="1" applyBorder="1" applyAlignment="1">
      <alignment vertical="center"/>
    </xf>
    <xf numFmtId="0" fontId="27" fillId="0" borderId="12" xfId="0" applyFont="1" applyBorder="1" applyAlignment="1">
      <alignment vertical="center"/>
    </xf>
    <xf numFmtId="0" fontId="27" fillId="0" borderId="12" xfId="0" applyFont="1" applyBorder="1" applyAlignment="1">
      <alignment horizontal="right" vertical="center"/>
    </xf>
    <xf numFmtId="2" fontId="0" fillId="0" borderId="12" xfId="0" applyNumberFormat="1" applyBorder="1"/>
    <xf numFmtId="0" fontId="28" fillId="0" borderId="12" xfId="0" applyFont="1" applyBorder="1"/>
    <xf numFmtId="0" fontId="21" fillId="0" borderId="12" xfId="0" applyFont="1" applyBorder="1" applyAlignment="1">
      <alignment vertical="center"/>
    </xf>
    <xf numFmtId="0" fontId="21" fillId="0" borderId="12" xfId="0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13" fillId="0" borderId="1" xfId="0" applyFont="1" applyBorder="1" applyAlignment="1">
      <alignment horizontal="left"/>
    </xf>
    <xf numFmtId="0" fontId="21" fillId="0" borderId="1" xfId="0" applyFont="1" applyBorder="1"/>
    <xf numFmtId="0" fontId="28" fillId="14" borderId="0" xfId="0" applyFont="1" applyFill="1" applyAlignment="1">
      <alignment vertical="center"/>
    </xf>
    <xf numFmtId="0" fontId="29" fillId="15" borderId="12" xfId="0" applyFont="1" applyFill="1" applyBorder="1"/>
    <xf numFmtId="0" fontId="29" fillId="15" borderId="1" xfId="0" applyFont="1" applyFill="1" applyBorder="1"/>
    <xf numFmtId="0" fontId="29" fillId="15" borderId="1" xfId="0" applyFont="1" applyFill="1" applyBorder="1" applyAlignment="1">
      <alignment horizontal="center" vertical="center"/>
    </xf>
    <xf numFmtId="0" fontId="30" fillId="15" borderId="1" xfId="0" applyFont="1" applyFill="1" applyBorder="1"/>
    <xf numFmtId="0" fontId="29" fillId="15" borderId="1" xfId="0" applyFont="1" applyFill="1" applyBorder="1" applyAlignment="1">
      <alignment horizontal="left" wrapText="1"/>
    </xf>
    <xf numFmtId="0" fontId="30" fillId="15" borderId="0" xfId="0" applyFont="1" applyFill="1"/>
    <xf numFmtId="0" fontId="29" fillId="15" borderId="0" xfId="0" applyFont="1" applyFill="1"/>
    <xf numFmtId="0" fontId="29" fillId="15" borderId="1" xfId="0" applyFont="1" applyFill="1" applyBorder="1" applyAlignment="1">
      <alignment horizontal="center" wrapText="1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 zoomScale="100" zoomScaleNormal="100"/>
  </sheetViews>
  <sheetFormatPr defaultRowHeight="15.75" outlineLevelRow="0" outlineLevelCol="0" x14ac:dyDescent="0.25" defaultColWidth="8.85546875" customHeight="1"/>
  <cols>
    <col min="1" max="1" width="24" style="1" customWidth="1"/>
    <col min="2" max="2" width="30.140625" style="1" customWidth="1"/>
    <col min="3" max="3" width="27.42578125" style="1" customWidth="1"/>
    <col min="4" max="4" width="21.85546875" style="1" customWidth="1"/>
    <col min="5" max="5" width="13.85546875" style="1" customWidth="1"/>
    <col min="6" max="6" width="9.85546875" style="1" customWidth="1"/>
    <col min="7" max="7" width="23.28515625" style="1" customWidth="1"/>
    <col min="8" max="8" width="44.28515625" style="1" customWidth="1"/>
    <col min="9" max="16384" width="8.85546875" style="1" customWidth="1"/>
  </cols>
  <sheetData>
    <row r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spans="1:6" x14ac:dyDescent="0.25">
      <c r="A2" s="5" t="s">
        <v>1</v>
      </c>
      <c r="B2" s="1" t="s">
        <v>2</v>
      </c>
      <c r="F2" s="6"/>
    </row>
    <row r="3" spans="1:6" x14ac:dyDescent="0.25">
      <c r="A3" s="5" t="s">
        <v>3</v>
      </c>
      <c r="B3" s="1" t="s">
        <v>4</v>
      </c>
      <c r="F3" s="6"/>
    </row>
    <row r="4" spans="1:6" x14ac:dyDescent="0.25">
      <c r="A4" s="5" t="s">
        <v>5</v>
      </c>
      <c r="B4" s="1" t="s">
        <v>6</v>
      </c>
      <c r="F4" s="6"/>
    </row>
    <row r="5" spans="1:6" x14ac:dyDescent="0.25">
      <c r="A5" s="5" t="s">
        <v>7</v>
      </c>
      <c r="B5" s="1" t="s">
        <v>8</v>
      </c>
      <c r="F5" s="6"/>
    </row>
    <row r="6" spans="1:8" x14ac:dyDescent="0.25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8" t="s">
        <v>14</v>
      </c>
      <c r="G6" s="8" t="s">
        <v>15</v>
      </c>
      <c r="H6" s="9" t="s">
        <v>16</v>
      </c>
    </row>
    <row r="7" spans="1:8" x14ac:dyDescent="0.25">
      <c r="A7" s="10" t="s">
        <v>17</v>
      </c>
      <c r="B7" s="10" t="s">
        <v>18</v>
      </c>
      <c r="C7" s="10" t="s">
        <v>19</v>
      </c>
      <c r="D7" s="10" t="s">
        <v>20</v>
      </c>
      <c r="E7" s="11">
        <v>15.68</v>
      </c>
      <c r="F7" s="12">
        <f>'Scans Inbound '!L1-F12</f>
        <v>0</v>
      </c>
      <c r="G7" s="13">
        <f t="shared" ref="G7:G44" si="0">F7*E7</f>
        <v>0</v>
      </c>
      <c r="H7" s="14" t="s">
        <v>21</v>
      </c>
    </row>
    <row r="8" spans="1:8" x14ac:dyDescent="0.25">
      <c r="A8" s="10" t="s">
        <v>17</v>
      </c>
      <c r="B8" s="10" t="s">
        <v>22</v>
      </c>
      <c r="C8" s="10" t="s">
        <v>23</v>
      </c>
      <c r="D8" s="10" t="s">
        <v>24</v>
      </c>
      <c r="E8" s="11">
        <v>2.92</v>
      </c>
      <c r="F8" s="12">
        <f>'Scans Inbound '!Q2</f>
        <v>0</v>
      </c>
      <c r="G8" s="13">
        <f t="shared" si="0"/>
        <v>0</v>
      </c>
      <c r="H8" s="14" t="s">
        <v>21</v>
      </c>
    </row>
    <row r="9" spans="1:8" x14ac:dyDescent="0.25">
      <c r="A9" s="10" t="s">
        <v>17</v>
      </c>
      <c r="B9" s="10" t="s">
        <v>22</v>
      </c>
      <c r="C9" s="10" t="s">
        <v>25</v>
      </c>
      <c r="D9" s="10" t="s">
        <v>26</v>
      </c>
      <c r="E9" s="11">
        <v>2.92</v>
      </c>
      <c r="F9" s="12">
        <f>'Scans Inbound '!S2</f>
        <v>0</v>
      </c>
      <c r="G9" s="13">
        <f t="shared" si="0"/>
        <v>0</v>
      </c>
      <c r="H9" s="14" t="s">
        <v>21</v>
      </c>
    </row>
    <row r="10" spans="1:8" x14ac:dyDescent="0.25">
      <c r="A10" s="10" t="s">
        <v>17</v>
      </c>
      <c r="B10" s="10" t="s">
        <v>22</v>
      </c>
      <c r="C10" s="10" t="s">
        <v>27</v>
      </c>
      <c r="D10" s="10" t="s">
        <v>28</v>
      </c>
      <c r="E10" s="11">
        <v>2.92</v>
      </c>
      <c r="F10" s="15">
        <f>'Scans Inbound '!P2</f>
        <v>0</v>
      </c>
      <c r="G10" s="13">
        <f t="shared" si="0"/>
        <v>0</v>
      </c>
      <c r="H10" s="14" t="s">
        <v>21</v>
      </c>
    </row>
    <row r="11" spans="1:8" x14ac:dyDescent="0.25">
      <c r="A11" s="10" t="s">
        <v>17</v>
      </c>
      <c r="B11" s="10" t="s">
        <v>22</v>
      </c>
      <c r="C11" s="10" t="s">
        <v>29</v>
      </c>
      <c r="D11" s="10" t="s">
        <v>30</v>
      </c>
      <c r="E11" s="11">
        <v>4.7</v>
      </c>
      <c r="F11" s="15">
        <f>'Scans Inbound '!R2</f>
        <v>0</v>
      </c>
      <c r="G11" s="13">
        <f t="shared" si="0"/>
        <v>0</v>
      </c>
      <c r="H11" s="14" t="s">
        <v>21</v>
      </c>
    </row>
    <row r="12" spans="1:8" x14ac:dyDescent="0.25">
      <c r="A12" s="10" t="s">
        <v>31</v>
      </c>
      <c r="B12" s="10" t="s">
        <v>18</v>
      </c>
      <c r="C12" s="10" t="s">
        <v>19</v>
      </c>
      <c r="D12" s="10" t="s">
        <v>20</v>
      </c>
      <c r="E12" s="11">
        <v>27.51</v>
      </c>
      <c r="F12" s="12">
        <f>'Scans Inbound '!N1</f>
        <v>0</v>
      </c>
      <c r="G12" s="13">
        <f t="shared" si="0"/>
        <v>0</v>
      </c>
      <c r="H12" s="16" t="s">
        <v>32</v>
      </c>
    </row>
    <row r="13" spans="1:8" x14ac:dyDescent="0.25">
      <c r="A13" s="10" t="s">
        <v>31</v>
      </c>
      <c r="B13" s="10" t="s">
        <v>22</v>
      </c>
      <c r="C13" s="10" t="s">
        <v>23</v>
      </c>
      <c r="D13" s="10" t="s">
        <v>24</v>
      </c>
      <c r="E13" s="11">
        <v>2.92</v>
      </c>
      <c r="F13" s="15">
        <f>'Scans Inbound '!I26</f>
        <v>0</v>
      </c>
      <c r="G13" s="13">
        <f t="shared" si="0"/>
        <v>0</v>
      </c>
      <c r="H13" s="14" t="s">
        <v>21</v>
      </c>
    </row>
    <row r="14" spans="1:8" x14ac:dyDescent="0.25">
      <c r="A14" s="10" t="s">
        <v>31</v>
      </c>
      <c r="B14" s="10" t="s">
        <v>22</v>
      </c>
      <c r="C14" s="10" t="s">
        <v>25</v>
      </c>
      <c r="D14" s="10" t="s">
        <v>26</v>
      </c>
      <c r="E14" s="11">
        <v>2.92</v>
      </c>
      <c r="F14" s="12">
        <v>0</v>
      </c>
      <c r="G14" s="13">
        <f t="shared" si="0"/>
        <v>0</v>
      </c>
      <c r="H14" s="14" t="s">
        <v>21</v>
      </c>
    </row>
    <row r="15" spans="1:8" x14ac:dyDescent="0.25">
      <c r="A15" s="10" t="s">
        <v>31</v>
      </c>
      <c r="B15" s="10" t="s">
        <v>22</v>
      </c>
      <c r="C15" s="10" t="s">
        <v>27</v>
      </c>
      <c r="D15" s="10" t="s">
        <v>28</v>
      </c>
      <c r="E15" s="11">
        <v>2.92</v>
      </c>
      <c r="F15" s="15">
        <f>'Scans Inbound '!I28</f>
        <v>0</v>
      </c>
      <c r="G15" s="13">
        <f t="shared" si="0"/>
        <v>0</v>
      </c>
      <c r="H15" s="14" t="s">
        <v>21</v>
      </c>
    </row>
    <row r="16" spans="1:8" x14ac:dyDescent="0.25">
      <c r="A16" s="10" t="s">
        <v>31</v>
      </c>
      <c r="B16" s="10" t="s">
        <v>22</v>
      </c>
      <c r="C16" s="10" t="s">
        <v>29</v>
      </c>
      <c r="D16" s="10" t="s">
        <v>30</v>
      </c>
      <c r="E16" s="11">
        <v>4.7</v>
      </c>
      <c r="F16" s="15">
        <f>'Scans Inbound '!I29</f>
        <v>0</v>
      </c>
      <c r="G16" s="13">
        <f t="shared" si="0"/>
        <v>0</v>
      </c>
      <c r="H16" s="16" t="s">
        <v>33</v>
      </c>
    </row>
    <row r="17" spans="1:8" x14ac:dyDescent="0.25">
      <c r="A17" s="10" t="s">
        <v>34</v>
      </c>
      <c r="B17" s="10" t="s">
        <v>18</v>
      </c>
      <c r="C17" s="10" t="s">
        <v>35</v>
      </c>
      <c r="D17" s="10" t="s">
        <v>20</v>
      </c>
      <c r="E17" s="11">
        <v>15.68</v>
      </c>
      <c r="F17" s="12">
        <f>'Scans Outbound '!M2-F18-F19</f>
        <v>0</v>
      </c>
      <c r="G17" s="13">
        <f t="shared" si="0"/>
        <v>0</v>
      </c>
      <c r="H17" s="14" t="s">
        <v>36</v>
      </c>
    </row>
    <row r="18" spans="1:8" x14ac:dyDescent="0.25">
      <c r="A18" s="10" t="s">
        <v>34</v>
      </c>
      <c r="B18" s="10" t="s">
        <v>18</v>
      </c>
      <c r="C18" s="10" t="s">
        <v>37</v>
      </c>
      <c r="D18" s="10" t="s">
        <v>20</v>
      </c>
      <c r="E18" s="11">
        <v>15.68</v>
      </c>
      <c r="F18" s="12">
        <v>0</v>
      </c>
      <c r="G18" s="13">
        <f t="shared" si="0"/>
        <v>0</v>
      </c>
      <c r="H18" s="14" t="s">
        <v>36</v>
      </c>
    </row>
    <row r="19" spans="1:8" x14ac:dyDescent="0.25">
      <c r="A19" s="10" t="s">
        <v>34</v>
      </c>
      <c r="B19" s="10" t="s">
        <v>18</v>
      </c>
      <c r="C19" s="17" t="s">
        <v>38</v>
      </c>
      <c r="D19" s="10" t="s">
        <v>20</v>
      </c>
      <c r="E19" s="11">
        <v>33.02</v>
      </c>
      <c r="F19" s="12">
        <v>0</v>
      </c>
      <c r="G19" s="13">
        <f t="shared" si="0"/>
        <v>0</v>
      </c>
      <c r="H19" s="14" t="s">
        <v>36</v>
      </c>
    </row>
    <row r="20" spans="1:8" x14ac:dyDescent="0.25">
      <c r="A20" s="10" t="s">
        <v>34</v>
      </c>
      <c r="B20" s="10" t="s">
        <v>22</v>
      </c>
      <c r="C20" s="10" t="s">
        <v>23</v>
      </c>
      <c r="D20" s="10" t="s">
        <v>24</v>
      </c>
      <c r="E20" s="11">
        <v>2.92</v>
      </c>
      <c r="F20" s="12">
        <f>'Scans Outbound '!R6</f>
        <v>0</v>
      </c>
      <c r="G20" s="13">
        <f t="shared" si="0"/>
        <v>0</v>
      </c>
      <c r="H20" s="14" t="s">
        <v>36</v>
      </c>
    </row>
    <row r="21" spans="1:8" x14ac:dyDescent="0.25">
      <c r="A21" s="10" t="s">
        <v>34</v>
      </c>
      <c r="B21" s="10" t="s">
        <v>22</v>
      </c>
      <c r="C21" s="10" t="s">
        <v>25</v>
      </c>
      <c r="D21" s="10" t="s">
        <v>26</v>
      </c>
      <c r="E21" s="11">
        <v>2.92</v>
      </c>
      <c r="F21" s="12">
        <f>'Scans Outbound '!T6</f>
        <v>0</v>
      </c>
      <c r="G21" s="13">
        <f t="shared" si="0"/>
        <v>0</v>
      </c>
      <c r="H21" s="14" t="s">
        <v>36</v>
      </c>
    </row>
    <row r="22" spans="1:8" x14ac:dyDescent="0.25">
      <c r="A22" s="10" t="s">
        <v>34</v>
      </c>
      <c r="B22" s="10" t="s">
        <v>22</v>
      </c>
      <c r="C22" s="10" t="s">
        <v>27</v>
      </c>
      <c r="D22" s="10" t="s">
        <v>28</v>
      </c>
      <c r="E22" s="11">
        <v>2.92</v>
      </c>
      <c r="F22" s="12">
        <f>'Scans Outbound '!Q6</f>
        <v>0</v>
      </c>
      <c r="G22" s="13">
        <f t="shared" si="0"/>
        <v>0</v>
      </c>
      <c r="H22" s="14" t="s">
        <v>36</v>
      </c>
    </row>
    <row r="23" spans="1:8" x14ac:dyDescent="0.25">
      <c r="A23" s="10" t="s">
        <v>34</v>
      </c>
      <c r="B23" s="10" t="s">
        <v>22</v>
      </c>
      <c r="C23" s="10" t="s">
        <v>29</v>
      </c>
      <c r="D23" s="10" t="s">
        <v>30</v>
      </c>
      <c r="E23" s="11">
        <v>4.7</v>
      </c>
      <c r="F23" s="15">
        <f>'Scans Outbound '!S6</f>
        <v>0</v>
      </c>
      <c r="G23" s="13">
        <f t="shared" si="0"/>
        <v>0</v>
      </c>
      <c r="H23" s="14" t="s">
        <v>36</v>
      </c>
    </row>
    <row r="24" spans="1:8" x14ac:dyDescent="0.25">
      <c r="A24" s="10" t="s">
        <v>34</v>
      </c>
      <c r="B24" s="10" t="s">
        <v>22</v>
      </c>
      <c r="C24" s="10" t="s">
        <v>39</v>
      </c>
      <c r="D24" s="10" t="s">
        <v>40</v>
      </c>
      <c r="E24" s="11">
        <v>20.9</v>
      </c>
      <c r="F24" s="15">
        <v>0</v>
      </c>
      <c r="G24" s="13">
        <f t="shared" si="0"/>
        <v>0</v>
      </c>
      <c r="H24" s="14" t="s">
        <v>36</v>
      </c>
    </row>
    <row r="25" spans="1:8" x14ac:dyDescent="0.25">
      <c r="A25" s="10" t="s">
        <v>41</v>
      </c>
      <c r="B25" s="10" t="s">
        <v>42</v>
      </c>
      <c r="C25" s="10" t="s">
        <v>30</v>
      </c>
      <c r="D25" s="10" t="s">
        <v>43</v>
      </c>
      <c r="E25" s="11">
        <v>6.33</v>
      </c>
      <c r="F25" s="12">
        <f>'Storage '!I5</f>
        <v>0</v>
      </c>
      <c r="G25" s="13">
        <f t="shared" si="0"/>
        <v>0</v>
      </c>
      <c r="H25" s="16" t="s">
        <v>44</v>
      </c>
    </row>
    <row r="26" spans="1:8" x14ac:dyDescent="0.25">
      <c r="A26" s="10" t="s">
        <v>41</v>
      </c>
      <c r="B26" s="10" t="s">
        <v>42</v>
      </c>
      <c r="C26" s="10" t="s">
        <v>45</v>
      </c>
      <c r="D26" s="10" t="s">
        <v>43</v>
      </c>
      <c r="E26" s="11">
        <v>1.87</v>
      </c>
      <c r="F26" s="12">
        <f>'Storage '!J5</f>
        <v>0</v>
      </c>
      <c r="G26" s="13">
        <f t="shared" si="0"/>
        <v>0</v>
      </c>
      <c r="H26" s="16" t="s">
        <v>44</v>
      </c>
    </row>
    <row r="27" spans="1:8" x14ac:dyDescent="0.25">
      <c r="A27" s="10" t="s">
        <v>46</v>
      </c>
      <c r="B27" s="10" t="s">
        <v>47</v>
      </c>
      <c r="C27" s="10" t="s">
        <v>48</v>
      </c>
      <c r="D27" s="10" t="s">
        <v>49</v>
      </c>
      <c r="E27" s="11">
        <v>20.9</v>
      </c>
      <c r="F27" s="12">
        <f>VAS!F14</f>
        <v>0</v>
      </c>
      <c r="G27" s="13">
        <f t="shared" si="0"/>
        <v>0</v>
      </c>
      <c r="H27" s="16" t="s">
        <v>50</v>
      </c>
    </row>
    <row r="28" spans="1:8" x14ac:dyDescent="0.25">
      <c r="A28" s="10" t="s">
        <v>46</v>
      </c>
      <c r="B28" s="10" t="s">
        <v>51</v>
      </c>
      <c r="C28" s="10" t="s">
        <v>52</v>
      </c>
      <c r="D28" s="10" t="s">
        <v>53</v>
      </c>
      <c r="E28" s="11">
        <v>59</v>
      </c>
      <c r="F28" s="12">
        <v>0</v>
      </c>
      <c r="G28" s="18">
        <f t="shared" si="0"/>
        <v>0</v>
      </c>
      <c r="H28" s="19" t="s">
        <v>50</v>
      </c>
    </row>
    <row r="29" spans="1:8" x14ac:dyDescent="0.25">
      <c r="A29" s="10" t="s">
        <v>46</v>
      </c>
      <c r="B29" s="10" t="s">
        <v>51</v>
      </c>
      <c r="C29" s="10" t="s">
        <v>54</v>
      </c>
      <c r="D29" s="10" t="s">
        <v>53</v>
      </c>
      <c r="E29" s="11">
        <v>75</v>
      </c>
      <c r="F29" s="12">
        <v>0</v>
      </c>
      <c r="G29" s="13">
        <f t="shared" si="0"/>
        <v>0</v>
      </c>
      <c r="H29" s="19" t="s">
        <v>50</v>
      </c>
    </row>
    <row r="30" spans="1:8" x14ac:dyDescent="0.25">
      <c r="A30" s="10" t="s">
        <v>46</v>
      </c>
      <c r="B30" s="10" t="s">
        <v>51</v>
      </c>
      <c r="C30" s="10" t="s">
        <v>55</v>
      </c>
      <c r="D30" s="10" t="s">
        <v>56</v>
      </c>
      <c r="E30" s="11">
        <v>61.66</v>
      </c>
      <c r="F30" s="12">
        <v>0</v>
      </c>
      <c r="G30" s="13">
        <f t="shared" si="0"/>
        <v>0</v>
      </c>
      <c r="H30" s="14"/>
    </row>
    <row r="31" spans="1:8" x14ac:dyDescent="0.25">
      <c r="A31" s="10" t="s">
        <v>46</v>
      </c>
      <c r="B31" s="10" t="s">
        <v>57</v>
      </c>
      <c r="C31" s="10" t="s">
        <v>58</v>
      </c>
      <c r="D31" s="10" t="s">
        <v>59</v>
      </c>
      <c r="E31" s="20">
        <v>0.15</v>
      </c>
      <c r="F31" s="12">
        <v>0</v>
      </c>
      <c r="G31" s="13">
        <f t="shared" si="0"/>
        <v>0</v>
      </c>
      <c r="H31" s="14"/>
    </row>
    <row r="32" spans="1:8" x14ac:dyDescent="0.25">
      <c r="A32" s="10" t="s">
        <v>46</v>
      </c>
      <c r="B32" s="10" t="s">
        <v>57</v>
      </c>
      <c r="C32" s="10" t="s">
        <v>60</v>
      </c>
      <c r="D32" s="10" t="s">
        <v>30</v>
      </c>
      <c r="E32" s="11">
        <v>6.27</v>
      </c>
      <c r="F32" s="12">
        <v>0</v>
      </c>
      <c r="G32" s="13">
        <f t="shared" si="0"/>
        <v>0</v>
      </c>
      <c r="H32" s="14"/>
    </row>
    <row r="33" ht="30.75" customHeight="1" spans="1:8" x14ac:dyDescent="0.25">
      <c r="A33" s="10" t="s">
        <v>46</v>
      </c>
      <c r="B33" s="10" t="s">
        <v>57</v>
      </c>
      <c r="C33" s="10" t="s">
        <v>61</v>
      </c>
      <c r="D33" s="10" t="s">
        <v>62</v>
      </c>
      <c r="E33" s="11">
        <v>2.09</v>
      </c>
      <c r="F33" s="15">
        <f>SUM('Scans Outbound '!G2:G19)</f>
        <v>0</v>
      </c>
      <c r="G33" s="13">
        <f t="shared" si="0"/>
        <v>0</v>
      </c>
      <c r="H33" s="16" t="s">
        <v>33</v>
      </c>
    </row>
    <row r="34" spans="1:8" x14ac:dyDescent="0.25">
      <c r="A34" s="10" t="s">
        <v>63</v>
      </c>
      <c r="B34" s="10" t="s">
        <v>57</v>
      </c>
      <c r="C34" s="10" t="s">
        <v>64</v>
      </c>
      <c r="D34" s="10" t="s">
        <v>65</v>
      </c>
      <c r="E34" s="11">
        <v>135.85</v>
      </c>
      <c r="F34" s="12">
        <v>0</v>
      </c>
      <c r="G34" s="13">
        <f t="shared" si="0"/>
        <v>0</v>
      </c>
      <c r="H34" s="21"/>
    </row>
    <row r="35" ht="31.5" customHeight="1" spans="1:8" x14ac:dyDescent="0.25">
      <c r="A35" s="10" t="s">
        <v>63</v>
      </c>
      <c r="B35" s="10" t="s">
        <v>57</v>
      </c>
      <c r="C35" s="10" t="s">
        <v>66</v>
      </c>
      <c r="D35" s="10" t="s">
        <v>67</v>
      </c>
      <c r="E35" s="11">
        <v>355.3</v>
      </c>
      <c r="F35" s="12">
        <v>0</v>
      </c>
      <c r="G35" s="13">
        <f t="shared" si="0"/>
        <v>0</v>
      </c>
      <c r="H35" s="21"/>
    </row>
    <row r="36" ht="31.5" customHeight="1" spans="1:8" x14ac:dyDescent="0.25">
      <c r="A36" s="10" t="s">
        <v>63</v>
      </c>
      <c r="B36" s="10" t="s">
        <v>57</v>
      </c>
      <c r="C36" s="10" t="s">
        <v>68</v>
      </c>
      <c r="D36" s="10" t="s">
        <v>67</v>
      </c>
      <c r="E36" s="11">
        <v>637.45</v>
      </c>
      <c r="F36" s="12">
        <v>0</v>
      </c>
      <c r="G36" s="13">
        <f t="shared" si="0"/>
        <v>0</v>
      </c>
      <c r="H36" s="14"/>
    </row>
    <row r="37" ht="31.5" customHeight="1" spans="1:8" x14ac:dyDescent="0.25">
      <c r="A37" s="10" t="s">
        <v>63</v>
      </c>
      <c r="B37" s="10" t="s">
        <v>57</v>
      </c>
      <c r="C37" s="10" t="s">
        <v>66</v>
      </c>
      <c r="D37" s="10" t="s">
        <v>69</v>
      </c>
      <c r="E37" s="11">
        <v>637.45</v>
      </c>
      <c r="F37" s="12">
        <v>0</v>
      </c>
      <c r="G37" s="13">
        <f t="shared" si="0"/>
        <v>0</v>
      </c>
      <c r="H37" s="14"/>
    </row>
    <row r="38" ht="31.5" customHeight="1" spans="1:8" x14ac:dyDescent="0.25">
      <c r="A38" s="10" t="s">
        <v>63</v>
      </c>
      <c r="B38" s="10" t="s">
        <v>57</v>
      </c>
      <c r="C38" s="10" t="s">
        <v>68</v>
      </c>
      <c r="D38" s="10" t="s">
        <v>69</v>
      </c>
      <c r="E38" s="11">
        <v>919.6</v>
      </c>
      <c r="F38" s="12">
        <v>0</v>
      </c>
      <c r="G38" s="13">
        <f t="shared" si="0"/>
        <v>0</v>
      </c>
      <c r="H38" s="14"/>
    </row>
    <row r="39" ht="31.5" customHeight="1" spans="1:8" x14ac:dyDescent="0.25">
      <c r="A39" s="10" t="s">
        <v>70</v>
      </c>
      <c r="B39" s="10" t="s">
        <v>71</v>
      </c>
      <c r="C39" s="10" t="s">
        <v>72</v>
      </c>
      <c r="D39" s="10" t="s">
        <v>20</v>
      </c>
      <c r="E39" s="11">
        <v>20.9</v>
      </c>
      <c r="F39" s="12">
        <f>VAS!C14</f>
        <v>0</v>
      </c>
      <c r="G39" s="13">
        <f t="shared" si="0"/>
        <v>0</v>
      </c>
      <c r="H39" s="14" t="s">
        <v>50</v>
      </c>
    </row>
    <row r="40" spans="1:8" x14ac:dyDescent="0.25">
      <c r="A40" s="10" t="s">
        <v>70</v>
      </c>
      <c r="B40" s="10" t="s">
        <v>71</v>
      </c>
      <c r="C40" s="10" t="s">
        <v>73</v>
      </c>
      <c r="D40" s="10" t="s">
        <v>20</v>
      </c>
      <c r="E40" s="11">
        <v>15.68</v>
      </c>
      <c r="F40" s="12">
        <f>VAS!C20</f>
        <v>0</v>
      </c>
      <c r="G40" s="13">
        <f t="shared" si="0"/>
        <v>0</v>
      </c>
      <c r="H40" s="14"/>
    </row>
    <row r="41" spans="1:8" x14ac:dyDescent="0.25">
      <c r="A41" s="10" t="s">
        <v>70</v>
      </c>
      <c r="B41" s="10" t="s">
        <v>71</v>
      </c>
      <c r="C41" s="10" t="s">
        <v>74</v>
      </c>
      <c r="D41" s="10" t="s">
        <v>75</v>
      </c>
      <c r="E41" s="11">
        <v>8.2</v>
      </c>
      <c r="F41" s="12">
        <v>0</v>
      </c>
      <c r="G41" s="13">
        <f t="shared" si="0"/>
        <v>0</v>
      </c>
      <c r="H41" s="14"/>
    </row>
    <row r="42" spans="1:8" x14ac:dyDescent="0.25">
      <c r="A42" s="10" t="s">
        <v>70</v>
      </c>
      <c r="B42" s="10" t="s">
        <v>71</v>
      </c>
      <c r="C42" s="10" t="s">
        <v>76</v>
      </c>
      <c r="D42" s="10" t="s">
        <v>77</v>
      </c>
      <c r="E42" s="11">
        <v>14.63</v>
      </c>
      <c r="F42" s="12">
        <v>0</v>
      </c>
      <c r="G42" s="13">
        <f t="shared" si="0"/>
        <v>0</v>
      </c>
      <c r="H42" s="14"/>
    </row>
    <row r="43" spans="1:8" x14ac:dyDescent="0.25">
      <c r="A43" s="10" t="s">
        <v>70</v>
      </c>
      <c r="B43" s="10" t="s">
        <v>78</v>
      </c>
      <c r="C43" s="10" t="s">
        <v>79</v>
      </c>
      <c r="D43" s="10" t="s">
        <v>53</v>
      </c>
      <c r="E43" s="22">
        <v>182.88</v>
      </c>
      <c r="F43" s="12">
        <v>0</v>
      </c>
      <c r="G43" s="23">
        <f t="shared" si="0"/>
        <v>0</v>
      </c>
      <c r="H43" s="14"/>
    </row>
    <row r="44" spans="1:8" x14ac:dyDescent="0.25">
      <c r="A44" s="10" t="s">
        <v>70</v>
      </c>
      <c r="B44" s="10" t="s">
        <v>80</v>
      </c>
      <c r="C44" s="10" t="s">
        <v>81</v>
      </c>
      <c r="D44" s="10" t="s">
        <v>82</v>
      </c>
      <c r="E44" s="22">
        <v>522.5</v>
      </c>
      <c r="F44" s="12">
        <v>1</v>
      </c>
      <c r="G44" s="23">
        <f t="shared" si="0"/>
        <v>522.5</v>
      </c>
      <c r="H44" s="14"/>
    </row>
    <row r="45" spans="1:8" x14ac:dyDescent="0.25">
      <c r="A45" s="10" t="s">
        <v>70</v>
      </c>
      <c r="B45" s="10" t="s">
        <v>83</v>
      </c>
      <c r="C45" s="10" t="s">
        <v>84</v>
      </c>
      <c r="D45" s="10" t="s">
        <v>82</v>
      </c>
      <c r="E45" s="22" t="s">
        <v>85</v>
      </c>
      <c r="F45" s="12">
        <v>0</v>
      </c>
      <c r="G45" s="23">
        <v>0</v>
      </c>
      <c r="H45" s="14"/>
    </row>
    <row r="46" spans="6:7" x14ac:dyDescent="0.25">
      <c r="F46" s="24" t="s">
        <v>86</v>
      </c>
      <c r="G46" s="25">
        <f>SUM(G7:G42)</f>
        <v>0</v>
      </c>
    </row>
    <row r="47" spans="6:7" x14ac:dyDescent="0.25">
      <c r="F47" s="26" t="s">
        <v>87</v>
      </c>
      <c r="G47" s="27">
        <f>SUM(G43:G45)</f>
        <v>522.5</v>
      </c>
    </row>
    <row r="49" ht="16.5" customHeight="1" x14ac:dyDescent="0.25"/>
    <row r="50" spans="1:2" x14ac:dyDescent="0.25">
      <c r="A50" s="28"/>
      <c r="B50" s="29" t="s">
        <v>15</v>
      </c>
    </row>
    <row r="51" spans="1:2" x14ac:dyDescent="0.25">
      <c r="A51" s="30" t="s">
        <v>88</v>
      </c>
      <c r="B51" s="31">
        <f>G46</f>
        <v>0</v>
      </c>
    </row>
    <row r="52" spans="1:3" x14ac:dyDescent="0.25">
      <c r="A52" s="32" t="s">
        <v>89</v>
      </c>
      <c r="B52" s="33">
        <f>'Distribution outbound '!L3</f>
        <v>0</v>
      </c>
      <c r="C52" s="1" t="s">
        <v>90</v>
      </c>
    </row>
    <row r="53" ht="16.5" customHeight="1" spans="1:2" x14ac:dyDescent="0.25">
      <c r="A53" s="34" t="s">
        <v>91</v>
      </c>
      <c r="B53" s="35">
        <f>(B51+B52)*15%</f>
        <v>0</v>
      </c>
    </row>
    <row r="54" spans="1:2" x14ac:dyDescent="0.25">
      <c r="A54" s="36" t="s">
        <v>92</v>
      </c>
      <c r="B54" s="37">
        <f>SUM(B51:B53)</f>
        <v>0</v>
      </c>
    </row>
    <row r="55" ht="16.5" customHeight="1" spans="1:2" x14ac:dyDescent="0.25">
      <c r="A55" s="38" t="s">
        <v>93</v>
      </c>
      <c r="B55" s="39">
        <f>G47</f>
        <v>522.5</v>
      </c>
    </row>
    <row r="56" spans="1:2" x14ac:dyDescent="0.25">
      <c r="A56" s="40"/>
      <c r="B56" s="40"/>
    </row>
    <row r="57" spans="1:7" x14ac:dyDescent="0.25">
      <c r="A57" s="40"/>
      <c r="B57" s="40"/>
      <c r="G57" s="41"/>
    </row>
    <row r="58" spans="1:2" x14ac:dyDescent="0.25">
      <c r="A58" s="42" t="s">
        <v>94</v>
      </c>
      <c r="B58" s="43">
        <f>B51*1.15</f>
        <v>0</v>
      </c>
    </row>
    <row r="59" ht="16.5" customHeight="1" spans="1:2" x14ac:dyDescent="0.25">
      <c r="A59" s="44" t="s">
        <v>95</v>
      </c>
      <c r="B59" s="45">
        <f>B52*1.15</f>
        <v>0</v>
      </c>
    </row>
    <row r="60" spans="1:3" x14ac:dyDescent="0.25">
      <c r="A60" s="36" t="s">
        <v>92</v>
      </c>
      <c r="B60" s="37">
        <f>SUM(B58:B59)</f>
        <v>0</v>
      </c>
      <c r="C60" s="40"/>
    </row>
    <row r="61" ht="16.5" customHeight="1" spans="1:2" x14ac:dyDescent="0.25">
      <c r="A61" s="38" t="s">
        <v>93</v>
      </c>
      <c r="B61" s="39">
        <v>522.5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I10" sqref="I10"/>
    </sheetView>
  </sheetViews>
  <sheetFormatPr defaultRowHeight="15" outlineLevelRow="0" outlineLevelCol="0" x14ac:dyDescent="0.25" defaultColWidth="9"/>
  <cols>
    <col min="1" max="1" width="17.85546875" customWidth="1"/>
    <col min="2" max="2" width="6.85546875" customWidth="1"/>
    <col min="3" max="3" width="20.28515625" customWidth="1"/>
    <col min="4" max="4" width="19.28515625" customWidth="1"/>
    <col min="5" max="5" width="18.85546875" customWidth="1"/>
    <col min="6" max="6" width="22.140625" customWidth="1"/>
    <col min="7" max="7" width="6.5703125" customWidth="1"/>
    <col min="8" max="8" width="6.85546875" customWidth="1"/>
    <col min="9" max="9" width="17.42578125" customWidth="1"/>
    <col min="10" max="10" width="16.7109375" customWidth="1"/>
  </cols>
  <sheetData>
    <row r="1" spans="1:5" x14ac:dyDescent="0.25">
      <c r="A1" s="46" t="s">
        <v>96</v>
      </c>
      <c r="B1" s="46" t="s">
        <v>97</v>
      </c>
      <c r="C1" s="46" t="s">
        <v>98</v>
      </c>
      <c r="D1" s="47" t="s">
        <v>99</v>
      </c>
      <c r="E1" s="47" t="s">
        <v>100</v>
      </c>
    </row>
    <row r="2" spans="1:7" x14ac:dyDescent="0.25">
      <c r="A2" s="48" t="s">
        <v>101</v>
      </c>
      <c r="B2" s="49"/>
      <c r="C2" s="49"/>
      <c r="D2" s="50"/>
      <c r="E2" s="50"/>
      <c r="F2" s="51"/>
      <c r="G2" s="52"/>
    </row>
    <row r="3" spans="1:10" x14ac:dyDescent="0.25">
      <c r="A3" s="48"/>
      <c r="B3" s="53"/>
      <c r="C3" s="49"/>
      <c r="D3" s="50"/>
      <c r="E3" s="50"/>
      <c r="F3" s="51"/>
      <c r="G3" s="52"/>
      <c r="H3" s="54"/>
      <c r="I3" s="55" t="s">
        <v>102</v>
      </c>
      <c r="J3" s="55" t="s">
        <v>103</v>
      </c>
    </row>
    <row r="4" spans="1:10" x14ac:dyDescent="0.25">
      <c r="A4" s="48"/>
      <c r="B4" s="53"/>
      <c r="C4" s="49"/>
      <c r="D4" s="50"/>
      <c r="E4" s="50"/>
      <c r="F4" s="51"/>
      <c r="G4" s="52"/>
      <c r="H4" s="54"/>
      <c r="I4" s="54"/>
      <c r="J4" s="54"/>
    </row>
    <row r="5" spans="1:10" x14ac:dyDescent="0.25">
      <c r="A5" s="48"/>
      <c r="B5" s="53"/>
      <c r="C5" s="49"/>
      <c r="D5" s="50"/>
      <c r="E5" s="50"/>
      <c r="F5" s="51"/>
      <c r="G5" s="52"/>
      <c r="H5" s="56" t="s">
        <v>15</v>
      </c>
      <c r="I5" s="57">
        <f>D9+D17+D25+D33</f>
        <v>0</v>
      </c>
      <c r="J5" s="57">
        <f>E9+E17+E25+E33</f>
        <v>0</v>
      </c>
    </row>
    <row r="6" spans="1:10" x14ac:dyDescent="0.25">
      <c r="A6" s="48"/>
      <c r="B6" s="53"/>
      <c r="C6" s="49"/>
      <c r="D6" s="50"/>
      <c r="E6" s="50"/>
      <c r="F6" s="51"/>
      <c r="G6" s="52"/>
      <c r="J6" s="52"/>
    </row>
    <row r="7" spans="1:10" x14ac:dyDescent="0.25">
      <c r="A7" s="48"/>
      <c r="B7" s="53"/>
      <c r="C7" s="49"/>
      <c r="D7" s="50"/>
      <c r="E7" s="50"/>
      <c r="F7" s="51"/>
      <c r="G7" s="52"/>
      <c r="J7" s="52"/>
    </row>
    <row r="8" spans="1:10" x14ac:dyDescent="0.25">
      <c r="A8" s="48"/>
      <c r="B8" s="53"/>
      <c r="C8" s="49"/>
      <c r="D8" s="50"/>
      <c r="E8" s="50"/>
      <c r="F8" s="51"/>
      <c r="G8" s="52"/>
      <c r="J8" s="52"/>
    </row>
    <row r="9" spans="1:10" x14ac:dyDescent="0.25">
      <c r="A9" s="48"/>
      <c r="B9" s="58"/>
      <c r="C9" s="58" t="s">
        <v>15</v>
      </c>
      <c r="D9" s="59"/>
      <c r="E9" s="59"/>
      <c r="F9" s="51"/>
      <c r="G9" s="52"/>
      <c r="J9" s="52"/>
    </row>
    <row r="10" spans="1:10" x14ac:dyDescent="0.25">
      <c r="A10" s="48"/>
      <c r="B10" s="49"/>
      <c r="C10" s="49"/>
      <c r="D10" s="50"/>
      <c r="E10" s="50"/>
      <c r="F10" s="51"/>
      <c r="G10" s="52"/>
      <c r="J10" s="52"/>
    </row>
    <row r="11" spans="1:10" x14ac:dyDescent="0.25">
      <c r="A11" s="48"/>
      <c r="B11" s="53"/>
      <c r="C11" s="49"/>
      <c r="D11" s="50"/>
      <c r="E11" s="50"/>
      <c r="F11" s="51"/>
      <c r="G11" s="52"/>
      <c r="J11" s="52"/>
    </row>
    <row r="12" spans="1:10" x14ac:dyDescent="0.25">
      <c r="A12" s="48"/>
      <c r="B12" s="53"/>
      <c r="C12" s="49"/>
      <c r="D12" s="50"/>
      <c r="E12" s="50"/>
      <c r="F12" s="51"/>
      <c r="G12" s="52"/>
      <c r="J12" s="52"/>
    </row>
    <row r="13" spans="1:10" x14ac:dyDescent="0.25">
      <c r="A13" s="48"/>
      <c r="B13" s="53"/>
      <c r="C13" s="49"/>
      <c r="D13" s="50"/>
      <c r="E13" s="50"/>
      <c r="F13" s="51"/>
      <c r="G13" s="52"/>
      <c r="J13" s="52"/>
    </row>
    <row r="14" spans="1:10" x14ac:dyDescent="0.25">
      <c r="A14" s="48"/>
      <c r="B14" s="53"/>
      <c r="C14" s="49"/>
      <c r="D14" s="50"/>
      <c r="E14" s="50"/>
      <c r="F14" s="51"/>
      <c r="G14" s="52"/>
      <c r="J14" s="52"/>
    </row>
    <row r="15" spans="1:5" x14ac:dyDescent="0.25">
      <c r="A15" s="48"/>
      <c r="B15" s="53"/>
      <c r="C15" s="49"/>
      <c r="D15" s="50"/>
      <c r="E15" s="50"/>
    </row>
    <row r="16" spans="1:5" x14ac:dyDescent="0.25">
      <c r="A16" s="48"/>
      <c r="B16" s="53"/>
      <c r="C16" s="49"/>
      <c r="D16" s="50"/>
      <c r="E16" s="50"/>
    </row>
    <row r="17" spans="1:5" x14ac:dyDescent="0.25">
      <c r="A17" s="48"/>
      <c r="B17" s="58"/>
      <c r="C17" s="58" t="s">
        <v>15</v>
      </c>
      <c r="D17" s="59"/>
      <c r="E17" s="59"/>
    </row>
    <row r="18" spans="1:5" x14ac:dyDescent="0.25">
      <c r="A18" s="48"/>
      <c r="B18" s="49"/>
      <c r="C18" s="49"/>
      <c r="D18" s="50"/>
      <c r="E18" s="50"/>
    </row>
    <row r="19" spans="1:5" x14ac:dyDescent="0.25">
      <c r="A19" s="48"/>
      <c r="B19" s="53"/>
      <c r="C19" s="49"/>
      <c r="D19" s="50"/>
      <c r="E19" s="50"/>
    </row>
    <row r="20" spans="1:5" x14ac:dyDescent="0.25">
      <c r="A20" s="48"/>
      <c r="B20" s="53"/>
      <c r="C20" s="49"/>
      <c r="D20" s="50"/>
      <c r="E20" s="50"/>
    </row>
    <row r="21" spans="1:5" x14ac:dyDescent="0.25">
      <c r="A21" s="48"/>
      <c r="B21" s="53"/>
      <c r="C21" s="49"/>
      <c r="D21" s="50"/>
      <c r="E21" s="50"/>
    </row>
    <row r="22" spans="1:5" x14ac:dyDescent="0.25">
      <c r="A22" s="48"/>
      <c r="B22" s="53"/>
      <c r="C22" s="49"/>
      <c r="D22" s="50"/>
      <c r="E22" s="50"/>
    </row>
    <row r="23" spans="1:5" x14ac:dyDescent="0.25">
      <c r="A23" s="48"/>
      <c r="B23" s="53"/>
      <c r="C23" s="49"/>
      <c r="D23" s="50"/>
      <c r="E23" s="50"/>
    </row>
    <row r="24" spans="1:5" x14ac:dyDescent="0.25">
      <c r="A24" s="48"/>
      <c r="B24" s="53"/>
      <c r="C24" s="49"/>
      <c r="D24" s="50"/>
      <c r="E24" s="50"/>
    </row>
    <row r="25" spans="1:5" x14ac:dyDescent="0.25">
      <c r="A25" s="48"/>
      <c r="B25" s="58"/>
      <c r="C25" s="58" t="s">
        <v>15</v>
      </c>
      <c r="D25" s="59"/>
      <c r="E25" s="59"/>
    </row>
    <row r="26" spans="1:5" x14ac:dyDescent="0.25">
      <c r="A26" s="48"/>
      <c r="B26" s="49"/>
      <c r="C26" s="49"/>
      <c r="D26" s="50"/>
      <c r="E26" s="50"/>
    </row>
    <row r="27" spans="1:5" x14ac:dyDescent="0.25">
      <c r="A27" s="48"/>
      <c r="B27" s="53"/>
      <c r="C27" s="49"/>
      <c r="D27" s="50"/>
      <c r="E27" s="50"/>
    </row>
    <row r="28" spans="1:5" x14ac:dyDescent="0.25">
      <c r="A28" s="48"/>
      <c r="B28" s="53"/>
      <c r="C28" s="49"/>
      <c r="D28" s="50"/>
      <c r="E28" s="50"/>
    </row>
    <row r="29" spans="1:5" x14ac:dyDescent="0.25">
      <c r="A29" s="48"/>
      <c r="B29" s="53"/>
      <c r="C29" s="49"/>
      <c r="D29" s="50"/>
      <c r="E29" s="50"/>
    </row>
    <row r="30" spans="1:5" x14ac:dyDescent="0.25">
      <c r="A30" s="48"/>
      <c r="B30" s="53"/>
      <c r="C30" s="49"/>
      <c r="D30" s="50"/>
      <c r="E30" s="50"/>
    </row>
    <row r="31" spans="1:5" x14ac:dyDescent="0.25">
      <c r="A31" s="48"/>
      <c r="B31" s="53"/>
      <c r="C31" s="49"/>
      <c r="D31" s="50"/>
      <c r="E31" s="50"/>
    </row>
    <row r="32" spans="1:5" x14ac:dyDescent="0.25">
      <c r="A32" s="48"/>
      <c r="B32" s="53"/>
      <c r="C32" s="49"/>
      <c r="D32" s="50"/>
      <c r="E32" s="50"/>
    </row>
    <row r="33" spans="1:5" x14ac:dyDescent="0.25">
      <c r="A33" s="48"/>
      <c r="B33" s="58"/>
      <c r="C33" s="58" t="s">
        <v>15</v>
      </c>
      <c r="D33" s="59"/>
      <c r="E33" s="59"/>
    </row>
    <row r="34" spans="1:5" x14ac:dyDescent="0.25">
      <c r="A34" s="48"/>
      <c r="B34" s="60"/>
      <c r="C34" s="49"/>
      <c r="D34" s="50"/>
      <c r="E34" s="50"/>
    </row>
    <row r="35" spans="1:5" x14ac:dyDescent="0.25">
      <c r="A35" s="48"/>
      <c r="B35" s="60"/>
      <c r="C35" s="49"/>
      <c r="D35" s="50"/>
      <c r="E35" s="50"/>
    </row>
    <row r="36" spans="1:5" x14ac:dyDescent="0.25">
      <c r="A36" s="48"/>
      <c r="B36" s="60"/>
      <c r="C36" s="49"/>
      <c r="D36" s="50"/>
      <c r="E36" s="50"/>
    </row>
    <row r="37" spans="1:5" x14ac:dyDescent="0.25">
      <c r="A37" s="48"/>
      <c r="B37" s="60"/>
      <c r="C37" s="49"/>
      <c r="D37" s="50"/>
      <c r="E37" s="50"/>
    </row>
    <row r="38" spans="1:5" x14ac:dyDescent="0.25">
      <c r="A38" s="48"/>
      <c r="B38" s="60"/>
      <c r="C38" s="49"/>
      <c r="D38" s="50"/>
      <c r="E38" s="50"/>
    </row>
    <row r="39" spans="1:5" x14ac:dyDescent="0.25">
      <c r="A39" s="48"/>
      <c r="B39" s="60"/>
      <c r="C39" s="49"/>
      <c r="D39" s="50"/>
      <c r="E39" s="50"/>
    </row>
    <row r="40" spans="1:5" x14ac:dyDescent="0.25">
      <c r="A40" s="48"/>
      <c r="B40" s="60"/>
      <c r="C40" s="49"/>
      <c r="D40" s="50"/>
      <c r="E40" s="50"/>
    </row>
    <row r="41" spans="1:5" x14ac:dyDescent="0.25">
      <c r="A41" s="48"/>
      <c r="B41" s="58"/>
      <c r="C41" s="58" t="s">
        <v>15</v>
      </c>
      <c r="D41" s="59"/>
      <c r="E41" s="59"/>
    </row>
  </sheetData>
  <mergeCells count="6">
    <mergeCell ref="A2:A41"/>
    <mergeCell ref="B2:B8"/>
    <mergeCell ref="B10:B16"/>
    <mergeCell ref="B18:B24"/>
    <mergeCell ref="B26:B32"/>
    <mergeCell ref="B34:B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workbookViewId="0" zoomScale="100" zoomScaleNormal="100">
      <selection activeCell="N1" sqref="N1"/>
    </sheetView>
  </sheetViews>
  <sheetFormatPr defaultRowHeight="21" outlineLevelRow="0" outlineLevelCol="0" x14ac:dyDescent="0.35" defaultColWidth="8.85546875" customHeight="1"/>
  <cols>
    <col min="1" max="1" width="12.42578125" style="61" customWidth="1"/>
    <col min="2" max="2" width="20" customWidth="1"/>
    <col min="3" max="3" width="30.28515625" customWidth="1"/>
    <col min="4" max="4" width="28.5703125" customWidth="1"/>
    <col min="5" max="5" width="19.42578125" customWidth="1"/>
    <col min="6" max="6" width="12" customWidth="1"/>
    <col min="7" max="7" width="6.28515625" customWidth="1"/>
    <col min="8" max="8" width="7.28515625" customWidth="1"/>
    <col min="9" max="9" width="8.7109375" customWidth="1"/>
    <col min="10" max="10" width="8.140625" customWidth="1"/>
    <col min="11" max="11" width="29.28515625" style="61" customWidth="1"/>
    <col min="12" max="12" width="3" style="61" customWidth="1"/>
    <col min="13" max="13" width="28.140625" style="61" customWidth="1"/>
    <col min="14" max="14" width="3" style="61" customWidth="1"/>
    <col min="15" max="15" width="19.85546875" style="61" customWidth="1"/>
    <col min="16" max="19" width="8.7109375" style="61" customWidth="1"/>
    <col min="20" max="16384" width="8.85546875" style="61" customWidth="1"/>
  </cols>
  <sheetData>
    <row r="1" spans="1:19" x14ac:dyDescent="0.25">
      <c r="A1" s="62" t="s">
        <v>104</v>
      </c>
      <c r="B1" s="62" t="s">
        <v>105</v>
      </c>
      <c r="C1" s="62" t="s">
        <v>106</v>
      </c>
      <c r="D1" s="62" t="s">
        <v>107</v>
      </c>
      <c r="E1" s="62" t="s">
        <v>108</v>
      </c>
      <c r="F1" s="62" t="s">
        <v>109</v>
      </c>
      <c r="G1" s="62" t="s">
        <v>110</v>
      </c>
      <c r="H1" s="62" t="s">
        <v>111</v>
      </c>
      <c r="I1" s="62" t="s">
        <v>112</v>
      </c>
      <c r="J1" s="62" t="s">
        <v>113</v>
      </c>
      <c r="K1" s="63" t="s">
        <v>114</v>
      </c>
      <c r="L1" s="64">
        <f>COUNTA(D2:D646)</f>
        <v>0</v>
      </c>
      <c r="M1" s="65" t="s">
        <v>115</v>
      </c>
      <c r="N1" s="64">
        <v>0</v>
      </c>
      <c r="P1" s="66" t="s">
        <v>28</v>
      </c>
      <c r="Q1" s="66" t="s">
        <v>111</v>
      </c>
      <c r="R1" s="66" t="s">
        <v>30</v>
      </c>
      <c r="S1" s="66" t="s">
        <v>113</v>
      </c>
    </row>
    <row r="2" spans="1:19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O2" s="68" t="s">
        <v>116</v>
      </c>
      <c r="P2" s="69">
        <f>SUM(G2:G310)</f>
        <v>0</v>
      </c>
      <c r="Q2" s="69">
        <f>SUM(H2:H310)</f>
        <v>0</v>
      </c>
      <c r="R2" s="69">
        <f>SUM(I2:I310)</f>
        <v>0</v>
      </c>
      <c r="S2" s="69">
        <f>SUM(J2:J310)</f>
        <v>0</v>
      </c>
    </row>
    <row r="3" spans="1:20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O3" s="70"/>
      <c r="P3" s="71"/>
      <c r="Q3" s="71"/>
      <c r="R3" s="71"/>
      <c r="S3" s="71"/>
    </row>
    <row r="4" spans="1:20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O4" s="70"/>
      <c r="P4" s="71"/>
      <c r="Q4" s="71"/>
      <c r="R4" s="71"/>
      <c r="S4" s="71"/>
    </row>
    <row r="5" spans="1:20" x14ac:dyDescent="0.25">
      <c r="A5" s="67"/>
      <c r="B5" s="67"/>
      <c r="C5" s="67"/>
      <c r="D5" s="67"/>
      <c r="E5" s="67"/>
      <c r="F5" s="67"/>
      <c r="G5" s="67"/>
      <c r="H5" s="67"/>
      <c r="I5" s="67"/>
      <c r="J5" s="67"/>
      <c r="O5" s="70"/>
      <c r="P5" s="71"/>
      <c r="Q5" s="71"/>
      <c r="R5" s="71"/>
      <c r="S5" s="71"/>
    </row>
    <row r="6" spans="1:20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O6" s="70"/>
      <c r="P6" s="71"/>
      <c r="Q6" s="71"/>
      <c r="R6" s="71"/>
      <c r="S6" s="71"/>
    </row>
    <row r="7" spans="1:20" x14ac:dyDescent="0.25">
      <c r="A7" s="67"/>
      <c r="B7" s="67"/>
      <c r="C7" s="67"/>
      <c r="D7" s="67"/>
      <c r="E7" s="67"/>
      <c r="F7" s="67"/>
      <c r="G7" s="67"/>
      <c r="H7" s="67"/>
      <c r="I7" s="67"/>
      <c r="J7" s="67"/>
      <c r="O7" s="70"/>
      <c r="P7" s="71"/>
      <c r="Q7" s="71"/>
      <c r="R7" s="71"/>
      <c r="S7" s="71"/>
    </row>
    <row r="8" spans="1:20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O8" s="70"/>
      <c r="P8" s="71"/>
      <c r="Q8" s="71"/>
      <c r="R8" s="71"/>
      <c r="S8" s="71"/>
    </row>
    <row r="9" spans="1:10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</row>
    <row r="10" spans="1:10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</row>
    <row r="11" spans="1:10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</row>
    <row r="12" spans="1:10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</row>
    <row r="13" spans="1:10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</row>
    <row r="14" spans="1:10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</row>
    <row r="15" spans="1:10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</row>
    <row r="16" spans="1:10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</row>
    <row r="17" spans="1:10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67"/>
    </row>
    <row r="18" spans="1:10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67"/>
    </row>
    <row r="19" spans="1:10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</row>
    <row r="20" spans="1:10" x14ac:dyDescent="0.25">
      <c r="A20" s="67"/>
      <c r="B20" s="67"/>
      <c r="C20" s="67"/>
      <c r="D20" s="67"/>
      <c r="E20" s="67"/>
      <c r="F20" s="67"/>
      <c r="G20" s="67"/>
      <c r="H20" s="67"/>
      <c r="I20" s="67"/>
      <c r="J20" s="67"/>
    </row>
    <row r="21" spans="1:10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</row>
    <row r="22" spans="1:10" x14ac:dyDescent="0.25">
      <c r="A22" s="67"/>
      <c r="B22" s="67"/>
      <c r="C22" s="67"/>
      <c r="D22" s="67"/>
      <c r="E22" s="67"/>
      <c r="F22" s="67"/>
      <c r="G22" s="67"/>
      <c r="H22" s="67"/>
      <c r="I22" s="67"/>
      <c r="J22" s="67"/>
    </row>
    <row r="23" spans="1:10" x14ac:dyDescent="0.25">
      <c r="A23" s="67"/>
      <c r="B23" s="67"/>
      <c r="C23" s="67"/>
      <c r="D23" s="67"/>
      <c r="E23" s="67"/>
      <c r="F23" s="67"/>
      <c r="G23" s="67"/>
      <c r="H23" s="67"/>
      <c r="I23" s="67"/>
      <c r="J23" s="67"/>
    </row>
    <row r="24" spans="1:10" x14ac:dyDescent="0.25">
      <c r="A24" s="67"/>
      <c r="B24" s="67"/>
      <c r="C24" s="67"/>
      <c r="D24" s="67"/>
      <c r="E24" s="67"/>
      <c r="F24" s="67"/>
      <c r="G24" s="67"/>
      <c r="H24" s="67"/>
      <c r="I24" s="67"/>
      <c r="J24" s="67"/>
    </row>
    <row r="25" spans="1:10" x14ac:dyDescent="0.25">
      <c r="A25" s="67"/>
      <c r="B25" s="67"/>
      <c r="C25" s="67"/>
      <c r="D25" s="67"/>
      <c r="E25" s="67"/>
      <c r="F25" s="67"/>
      <c r="G25" s="67"/>
      <c r="H25" s="67"/>
      <c r="I25" s="67"/>
      <c r="J25" s="67"/>
    </row>
    <row r="26" spans="1:10" x14ac:dyDescent="0.25">
      <c r="A26" s="67"/>
      <c r="B26" s="67"/>
      <c r="C26" s="67"/>
      <c r="D26" s="67"/>
      <c r="E26" s="67"/>
      <c r="F26" s="67"/>
      <c r="G26" s="67"/>
      <c r="H26" s="67"/>
      <c r="I26" s="67"/>
      <c r="J26" s="67"/>
    </row>
    <row r="27" spans="1:10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</row>
    <row r="28" spans="1:10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</row>
    <row r="29" spans="1:10" x14ac:dyDescent="0.25">
      <c r="A29" s="67"/>
      <c r="B29" s="67"/>
      <c r="C29" s="67"/>
      <c r="D29" s="67"/>
      <c r="E29" s="67"/>
      <c r="F29" s="67"/>
      <c r="G29" s="67"/>
      <c r="H29" s="67"/>
      <c r="I29" s="67"/>
      <c r="J29" s="67"/>
    </row>
    <row r="30" spans="1:10" x14ac:dyDescent="0.25">
      <c r="A30" s="67"/>
      <c r="B30" s="67"/>
      <c r="C30" s="67"/>
      <c r="D30" s="67"/>
      <c r="E30" s="67"/>
      <c r="F30" s="67"/>
      <c r="G30" s="67"/>
      <c r="H30" s="67"/>
      <c r="I30" s="67"/>
      <c r="J30" s="67"/>
    </row>
    <row r="31" spans="1:10" x14ac:dyDescent="0.25">
      <c r="A31" s="67"/>
      <c r="B31" s="67"/>
      <c r="C31" s="67"/>
      <c r="D31" s="67"/>
      <c r="E31" s="67"/>
      <c r="F31" s="67"/>
      <c r="G31" s="67"/>
      <c r="H31" s="67"/>
      <c r="I31" s="67"/>
      <c r="J31" s="67"/>
    </row>
    <row r="32" spans="1:10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</row>
    <row r="33" spans="1:10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</row>
    <row r="34" spans="1:10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</row>
    <row r="35" spans="1:10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</row>
    <row r="36" spans="1:10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67"/>
    </row>
    <row r="37" spans="1:10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</row>
    <row r="38" spans="1:10" x14ac:dyDescent="0.25">
      <c r="A38" s="67"/>
      <c r="B38" s="67"/>
      <c r="C38" s="67"/>
      <c r="D38" s="67"/>
      <c r="E38" s="67"/>
      <c r="F38" s="67"/>
      <c r="G38" s="67"/>
      <c r="H38" s="67"/>
      <c r="I38" s="67"/>
      <c r="J38" s="67"/>
    </row>
    <row r="39" spans="1:10" x14ac:dyDescent="0.25">
      <c r="A39" s="67"/>
      <c r="B39" s="67"/>
      <c r="C39" s="67"/>
      <c r="D39" s="67"/>
      <c r="E39" s="67"/>
      <c r="F39" s="67"/>
      <c r="G39" s="67"/>
      <c r="H39" s="67"/>
      <c r="I39" s="67"/>
      <c r="J39" s="67"/>
    </row>
    <row r="40" spans="1:10" x14ac:dyDescent="0.25">
      <c r="A40" s="67"/>
      <c r="B40" s="67"/>
      <c r="C40" s="67"/>
      <c r="D40" s="67"/>
      <c r="E40" s="67"/>
      <c r="F40" s="67"/>
      <c r="G40" s="67"/>
      <c r="H40" s="67"/>
      <c r="I40" s="67"/>
      <c r="J40" s="67"/>
    </row>
    <row r="41" spans="1:10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</row>
    <row r="42" spans="1:10" x14ac:dyDescent="0.25">
      <c r="A42" s="67"/>
      <c r="B42" s="67"/>
      <c r="C42" s="67"/>
      <c r="D42" s="67"/>
      <c r="E42" s="67"/>
      <c r="F42" s="67"/>
      <c r="G42" s="67"/>
      <c r="H42" s="67"/>
      <c r="I42" s="67"/>
      <c r="J42" s="67"/>
    </row>
    <row r="43" spans="1:10" x14ac:dyDescent="0.25">
      <c r="A43" s="67"/>
      <c r="B43" s="67"/>
      <c r="C43" s="67"/>
      <c r="D43" s="67"/>
      <c r="E43" s="67"/>
      <c r="F43" s="67"/>
      <c r="G43" s="67"/>
      <c r="H43" s="67"/>
      <c r="I43" s="67"/>
      <c r="J43" s="67"/>
    </row>
    <row r="44" spans="1:10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</row>
    <row r="45" spans="1:10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</row>
    <row r="46" spans="1:10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</row>
    <row r="47" spans="1:10" x14ac:dyDescent="0.25">
      <c r="A47" s="67"/>
      <c r="B47" s="67"/>
      <c r="C47" s="67"/>
      <c r="D47" s="67"/>
      <c r="E47" s="67"/>
      <c r="F47" s="67"/>
      <c r="G47" s="67"/>
      <c r="H47" s="67"/>
      <c r="I47" s="67"/>
      <c r="J47" s="67"/>
    </row>
    <row r="48" spans="1:10" x14ac:dyDescent="0.25">
      <c r="A48" s="67"/>
      <c r="B48" s="67"/>
      <c r="C48" s="67"/>
      <c r="D48" s="67"/>
      <c r="E48" s="67"/>
      <c r="F48" s="67"/>
      <c r="G48" s="67"/>
      <c r="H48" s="67"/>
      <c r="I48" s="67"/>
      <c r="J48" s="67"/>
    </row>
    <row r="49" spans="1:10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</row>
    <row r="50" spans="1:10" x14ac:dyDescent="0.25">
      <c r="A50" s="67"/>
      <c r="B50" s="67"/>
      <c r="C50" s="67"/>
      <c r="D50" s="67"/>
      <c r="E50" s="67"/>
      <c r="F50" s="67"/>
      <c r="G50" s="67"/>
      <c r="H50" s="67"/>
      <c r="I50" s="67"/>
      <c r="J50" s="67"/>
    </row>
    <row r="51" spans="1:10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</row>
    <row r="52" spans="1:10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</row>
    <row r="53" spans="1:10" x14ac:dyDescent="0.25">
      <c r="A53" s="67"/>
      <c r="B53" s="67"/>
      <c r="C53" s="67"/>
      <c r="D53" s="67"/>
      <c r="E53" s="67"/>
      <c r="F53" s="67"/>
      <c r="G53" s="67"/>
      <c r="H53" s="67"/>
      <c r="I53" s="67"/>
      <c r="J53" s="67"/>
    </row>
    <row r="54" spans="1:10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</row>
    <row r="55" spans="1:10" x14ac:dyDescent="0.25">
      <c r="A55" s="67"/>
      <c r="B55" s="67"/>
      <c r="C55" s="67"/>
      <c r="D55" s="67"/>
      <c r="E55" s="67"/>
      <c r="F55" s="67"/>
      <c r="G55" s="67"/>
      <c r="H55" s="67"/>
      <c r="I55" s="67"/>
      <c r="J55" s="67"/>
    </row>
    <row r="56" spans="1:10" x14ac:dyDescent="0.25">
      <c r="A56" s="67"/>
      <c r="B56" s="67"/>
      <c r="C56" s="67"/>
      <c r="D56" s="67"/>
      <c r="E56" s="67"/>
      <c r="F56" s="67"/>
      <c r="G56" s="67"/>
      <c r="H56" s="67"/>
      <c r="I56" s="67"/>
      <c r="J56" s="67"/>
    </row>
    <row r="57" spans="1:10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</row>
    <row r="58" spans="1:10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</row>
    <row r="59" spans="1:10" x14ac:dyDescent="0.25">
      <c r="A59" s="67"/>
      <c r="B59" s="67"/>
      <c r="C59" s="67"/>
      <c r="D59" s="67"/>
      <c r="E59" s="67"/>
      <c r="F59" s="67"/>
      <c r="G59" s="67"/>
      <c r="H59" s="67"/>
      <c r="I59" s="67"/>
      <c r="J59" s="67"/>
    </row>
    <row r="60" spans="1:10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</row>
    <row r="61" spans="1:10" x14ac:dyDescent="0.25">
      <c r="A61" s="67"/>
      <c r="B61" s="67"/>
      <c r="C61" s="67"/>
      <c r="D61" s="67"/>
      <c r="E61" s="67"/>
      <c r="F61" s="67"/>
      <c r="G61" s="67"/>
      <c r="H61" s="67"/>
      <c r="I61" s="67"/>
      <c r="J61" s="67"/>
    </row>
    <row r="62" spans="1:10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</row>
    <row r="63" spans="1:10" x14ac:dyDescent="0.25">
      <c r="A63" s="67"/>
      <c r="B63" s="67"/>
      <c r="C63" s="67"/>
      <c r="D63" s="67"/>
      <c r="E63" s="67"/>
      <c r="F63" s="67"/>
      <c r="G63" s="67"/>
      <c r="H63" s="67"/>
      <c r="I63" s="67"/>
      <c r="J63" s="67"/>
    </row>
    <row r="64" spans="1:10" x14ac:dyDescent="0.25">
      <c r="A64" s="67"/>
      <c r="B64" s="67"/>
      <c r="C64" s="67"/>
      <c r="D64" s="67"/>
      <c r="E64" s="67"/>
      <c r="F64" s="67"/>
      <c r="G64" s="67"/>
      <c r="H64" s="67"/>
      <c r="I64" s="67"/>
      <c r="J64" s="67"/>
    </row>
    <row r="65" spans="1:10" x14ac:dyDescent="0.25">
      <c r="A65" s="67"/>
      <c r="B65" s="67"/>
      <c r="C65" s="67"/>
      <c r="D65" s="67"/>
      <c r="E65" s="67"/>
      <c r="F65" s="67"/>
      <c r="G65" s="67"/>
      <c r="H65" s="67"/>
      <c r="I65" s="67"/>
      <c r="J65" s="67"/>
    </row>
    <row r="66" spans="1:10" x14ac:dyDescent="0.25">
      <c r="A66" s="67"/>
      <c r="B66" s="67"/>
      <c r="C66" s="67"/>
      <c r="D66" s="67"/>
      <c r="E66" s="67"/>
      <c r="F66" s="67"/>
      <c r="G66" s="67"/>
      <c r="H66" s="67"/>
      <c r="I66" s="67"/>
      <c r="J66" s="67"/>
    </row>
    <row r="67" spans="1:10" x14ac:dyDescent="0.25">
      <c r="A67" s="67"/>
      <c r="B67" s="67"/>
      <c r="C67" s="67"/>
      <c r="D67" s="67"/>
      <c r="E67" s="67"/>
      <c r="F67" s="67"/>
      <c r="G67" s="67"/>
      <c r="H67" s="67"/>
      <c r="I67" s="67"/>
      <c r="J67" s="67"/>
    </row>
    <row r="68" spans="1:10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</row>
    <row r="69" spans="1:10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</row>
    <row r="70" spans="1:10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9"/>
  <sheetViews>
    <sheetView workbookViewId="0" zoomScale="100" zoomScaleNormal="100">
      <selection activeCell="P6" sqref="P6"/>
    </sheetView>
  </sheetViews>
  <sheetFormatPr defaultRowHeight="21" outlineLevelRow="0" outlineLevelCol="0" x14ac:dyDescent="0.35" defaultColWidth="8.85546875" customHeight="1"/>
  <cols>
    <col min="1" max="1" width="14.5703125" style="61" customWidth="1"/>
    <col min="2" max="2" width="13.7109375" customWidth="1"/>
    <col min="3" max="3" width="20.42578125" customWidth="1"/>
    <col min="4" max="4" width="14.140625" customWidth="1"/>
    <col min="5" max="5" width="30.28515625" customWidth="1"/>
    <col min="6" max="6" width="17.140625" customWidth="1"/>
    <col min="7" max="7" width="14.28515625" customWidth="1"/>
    <col min="8" max="8" width="6.28515625" customWidth="1"/>
    <col min="9" max="9" width="7.28515625" customWidth="1"/>
    <col min="10" max="10" width="8.7109375" customWidth="1"/>
    <col min="11" max="11" width="8.140625" customWidth="1"/>
    <col min="12" max="12" width="31.42578125" style="61" customWidth="1"/>
    <col min="13" max="13" width="4.5703125" style="61" customWidth="1"/>
    <col min="14" max="14" width="8.85546875" style="61" customWidth="1"/>
    <col min="15" max="15" width="21.85546875" style="61" customWidth="1"/>
    <col min="16" max="16" width="26.140625" style="61" customWidth="1"/>
    <col min="17" max="17" width="6.28515625" style="61" customWidth="1"/>
    <col min="18" max="18" width="7.28515625" style="61" customWidth="1"/>
    <col min="19" max="19" width="8.7109375" style="61" customWidth="1"/>
    <col min="20" max="20" width="8.140625" style="61" customWidth="1"/>
    <col min="21" max="16384" width="8.85546875" style="61" customWidth="1"/>
  </cols>
  <sheetData>
    <row r="1" ht="42" customHeight="1" spans="1:12" x14ac:dyDescent="0.25">
      <c r="A1" s="72" t="s">
        <v>34</v>
      </c>
      <c r="B1" s="73" t="s">
        <v>105</v>
      </c>
      <c r="C1" s="73" t="s">
        <v>106</v>
      </c>
      <c r="D1" s="72" t="s">
        <v>117</v>
      </c>
      <c r="E1" s="72" t="s">
        <v>107</v>
      </c>
      <c r="F1" s="72" t="s">
        <v>118</v>
      </c>
      <c r="G1" s="73" t="s">
        <v>119</v>
      </c>
      <c r="H1" s="72" t="s">
        <v>110</v>
      </c>
      <c r="I1" s="72" t="s">
        <v>111</v>
      </c>
      <c r="J1" s="72" t="s">
        <v>112</v>
      </c>
      <c r="K1" s="72" t="s">
        <v>113</v>
      </c>
      <c r="L1" s="74"/>
    </row>
    <row r="2" spans="1:13" x14ac:dyDescent="0.25">
      <c r="A2" s="75"/>
      <c r="B2" s="76"/>
      <c r="C2" s="76"/>
      <c r="D2" s="76"/>
      <c r="E2" s="77"/>
      <c r="F2" s="77"/>
      <c r="G2" s="77"/>
      <c r="H2" s="78"/>
      <c r="I2" s="78"/>
      <c r="J2" s="78"/>
      <c r="K2" s="79"/>
      <c r="L2" s="63" t="s">
        <v>120</v>
      </c>
      <c r="M2" s="64">
        <f>COUNTA(E2:E977)-M4</f>
        <v>0</v>
      </c>
    </row>
    <row r="3" spans="1:11" x14ac:dyDescent="0.25">
      <c r="A3" s="75"/>
      <c r="B3" s="76"/>
      <c r="C3" s="76"/>
      <c r="D3" s="76"/>
      <c r="E3" s="77"/>
      <c r="F3" s="77"/>
      <c r="G3" s="77"/>
      <c r="H3" s="78"/>
      <c r="I3" s="78"/>
      <c r="J3" s="78"/>
      <c r="K3" s="79"/>
    </row>
    <row r="4" spans="1:13" x14ac:dyDescent="0.25">
      <c r="A4" s="75"/>
      <c r="B4" s="76"/>
      <c r="C4" s="76"/>
      <c r="D4" s="76"/>
      <c r="E4" s="77"/>
      <c r="F4" s="77"/>
      <c r="G4" s="77"/>
      <c r="H4" s="78"/>
      <c r="I4" s="78"/>
      <c r="J4" s="78"/>
      <c r="K4" s="79"/>
      <c r="L4" s="80" t="s">
        <v>121</v>
      </c>
      <c r="M4" s="81">
        <v>0</v>
      </c>
    </row>
    <row r="5" spans="1:20" x14ac:dyDescent="0.25">
      <c r="A5" s="75"/>
      <c r="B5" s="76"/>
      <c r="C5" s="76"/>
      <c r="D5" s="76"/>
      <c r="E5" s="77"/>
      <c r="F5" s="77"/>
      <c r="G5" s="77"/>
      <c r="H5" s="79"/>
      <c r="I5" s="78"/>
      <c r="J5" s="78"/>
      <c r="K5" s="79"/>
      <c r="P5" s="66" t="s">
        <v>119</v>
      </c>
      <c r="Q5" s="66" t="s">
        <v>110</v>
      </c>
      <c r="R5" s="66" t="s">
        <v>111</v>
      </c>
      <c r="S5" s="66" t="s">
        <v>112</v>
      </c>
      <c r="T5" s="66" t="s">
        <v>113</v>
      </c>
    </row>
    <row r="6" spans="1:20" x14ac:dyDescent="0.25">
      <c r="A6" s="75"/>
      <c r="B6" s="76"/>
      <c r="C6" s="76"/>
      <c r="D6" s="76"/>
      <c r="E6" s="77"/>
      <c r="F6" s="77"/>
      <c r="G6" s="77"/>
      <c r="H6" s="78"/>
      <c r="I6" s="78"/>
      <c r="J6" s="78"/>
      <c r="K6" s="79"/>
      <c r="O6" s="68" t="s">
        <v>122</v>
      </c>
      <c r="P6" s="69">
        <f>SUM(G2:G25)</f>
        <v>0</v>
      </c>
      <c r="Q6" s="69">
        <f>SUM(H2:H25)</f>
        <v>0</v>
      </c>
      <c r="R6" s="69">
        <f>SUM(I2:I558)</f>
        <v>0</v>
      </c>
      <c r="S6" s="69">
        <f>SUM(J2:J558)</f>
        <v>0</v>
      </c>
      <c r="T6" s="69">
        <f>SUM(K2:K558)</f>
        <v>0</v>
      </c>
    </row>
    <row r="7" spans="1:13" x14ac:dyDescent="0.25">
      <c r="A7" s="75"/>
      <c r="B7" s="76"/>
      <c r="C7" s="76"/>
      <c r="D7" s="76"/>
      <c r="E7" s="77"/>
      <c r="F7" s="77"/>
      <c r="G7" s="77"/>
      <c r="H7" s="78"/>
      <c r="I7" s="79"/>
      <c r="J7" s="78"/>
      <c r="K7" s="79"/>
    </row>
    <row r="8" spans="1:13" x14ac:dyDescent="0.25">
      <c r="A8" s="75"/>
      <c r="B8" s="76"/>
      <c r="C8" s="76"/>
      <c r="D8" s="76"/>
      <c r="E8" s="77"/>
      <c r="F8" s="77"/>
      <c r="G8" s="77"/>
      <c r="H8" s="79"/>
      <c r="I8" s="79"/>
      <c r="J8" s="79"/>
      <c r="K8" s="79"/>
    </row>
    <row r="9" spans="1:13" x14ac:dyDescent="0.25">
      <c r="A9" s="75"/>
      <c r="B9" s="76"/>
      <c r="C9" s="76"/>
      <c r="D9" s="76"/>
      <c r="E9" s="77"/>
      <c r="F9" s="77"/>
      <c r="G9" s="77"/>
      <c r="H9" s="78"/>
      <c r="I9" s="78"/>
      <c r="K9" s="79"/>
    </row>
    <row r="10" spans="1:13" x14ac:dyDescent="0.25">
      <c r="A10" s="75"/>
      <c r="B10" s="76"/>
      <c r="C10" s="76"/>
      <c r="D10" s="76"/>
      <c r="E10" s="77"/>
      <c r="F10" s="77"/>
      <c r="G10" s="77"/>
      <c r="H10" s="79"/>
      <c r="I10" s="78"/>
      <c r="J10" s="78"/>
      <c r="K10" s="78"/>
    </row>
    <row r="11" spans="1:13" x14ac:dyDescent="0.25">
      <c r="A11" s="75"/>
      <c r="B11" s="76"/>
      <c r="C11" s="76"/>
      <c r="D11" s="76"/>
      <c r="E11" s="77"/>
      <c r="F11" s="77"/>
      <c r="G11" s="77"/>
      <c r="H11" s="78"/>
      <c r="I11" s="79"/>
      <c r="J11" s="78"/>
      <c r="K11" s="78"/>
    </row>
    <row r="12" spans="1:13" x14ac:dyDescent="0.25">
      <c r="A12" s="75"/>
      <c r="B12" s="76"/>
      <c r="C12" s="76"/>
      <c r="D12" s="76"/>
      <c r="E12" s="77"/>
      <c r="F12" s="77"/>
      <c r="G12" s="77"/>
      <c r="H12" s="78"/>
      <c r="I12" s="79"/>
      <c r="J12" s="78"/>
      <c r="K12" s="78"/>
    </row>
    <row r="13" spans="1:13" x14ac:dyDescent="0.25">
      <c r="A13" s="75"/>
      <c r="B13" s="76"/>
      <c r="C13" s="76"/>
      <c r="D13" s="76"/>
      <c r="E13" s="77"/>
      <c r="F13" s="77"/>
      <c r="G13" s="77"/>
      <c r="H13" s="78"/>
      <c r="I13" s="78"/>
      <c r="J13" s="78"/>
      <c r="K13" s="79"/>
    </row>
    <row r="14" spans="1:13" x14ac:dyDescent="0.25">
      <c r="A14" s="75"/>
      <c r="B14" s="76"/>
      <c r="C14" s="76"/>
      <c r="D14" s="76"/>
      <c r="E14" s="77"/>
      <c r="F14" s="77"/>
      <c r="G14" s="77"/>
      <c r="H14" s="78"/>
      <c r="I14" s="79"/>
      <c r="J14" s="78"/>
      <c r="K14" s="78"/>
    </row>
    <row r="15" spans="1:21" x14ac:dyDescent="0.25">
      <c r="A15" s="75"/>
      <c r="B15" s="76"/>
      <c r="C15" s="76"/>
      <c r="D15" s="76"/>
      <c r="E15" s="77"/>
      <c r="F15" s="77"/>
      <c r="G15" s="77"/>
      <c r="H15" s="78"/>
      <c r="I15" s="78"/>
      <c r="J15" s="78"/>
      <c r="K15" s="79"/>
      <c r="L15" s="70"/>
      <c r="M15" s="74"/>
    </row>
    <row r="16" spans="1:21" x14ac:dyDescent="0.25">
      <c r="A16" s="75"/>
      <c r="B16" s="76"/>
      <c r="C16" s="76"/>
      <c r="D16" s="76"/>
      <c r="E16" s="77"/>
      <c r="F16" s="77"/>
      <c r="G16" s="77"/>
      <c r="H16" s="78"/>
      <c r="I16" s="78"/>
      <c r="J16" s="78"/>
      <c r="K16" s="79"/>
      <c r="L16" s="70"/>
      <c r="M16" s="74"/>
    </row>
    <row r="17" spans="1:21" x14ac:dyDescent="0.25">
      <c r="A17" s="75"/>
      <c r="B17" s="76"/>
      <c r="C17" s="76"/>
      <c r="D17" s="76"/>
      <c r="E17" s="77"/>
      <c r="F17" s="77"/>
      <c r="G17" s="77"/>
      <c r="H17" s="78"/>
      <c r="I17" s="78"/>
      <c r="J17" s="78"/>
      <c r="K17" s="79"/>
      <c r="L17" s="70"/>
      <c r="M17" s="74"/>
    </row>
    <row r="18" spans="1:21" x14ac:dyDescent="0.25">
      <c r="A18" s="75"/>
      <c r="B18" s="76"/>
      <c r="C18" s="76"/>
      <c r="D18" s="76"/>
      <c r="E18" s="77"/>
      <c r="F18" s="77"/>
      <c r="G18" s="77"/>
      <c r="H18" s="78"/>
      <c r="I18" s="78"/>
      <c r="J18" s="78"/>
      <c r="K18" s="79"/>
      <c r="L18" s="70"/>
      <c r="M18" s="74"/>
    </row>
    <row r="19" spans="1:21" x14ac:dyDescent="0.25">
      <c r="A19" s="75"/>
      <c r="B19" s="76"/>
      <c r="C19" s="76"/>
      <c r="D19" s="76"/>
      <c r="E19" s="77"/>
      <c r="F19" s="77"/>
      <c r="G19" s="77"/>
      <c r="H19" s="78"/>
      <c r="I19" s="78"/>
      <c r="J19" s="78"/>
      <c r="K19" s="79"/>
      <c r="L19" s="70"/>
      <c r="M19" s="74"/>
    </row>
    <row r="20" spans="1:11" x14ac:dyDescent="0.25">
      <c r="A20" s="75"/>
      <c r="B20" s="76"/>
      <c r="C20" s="76"/>
      <c r="D20" s="76"/>
      <c r="E20" s="77"/>
      <c r="F20" s="77"/>
      <c r="G20" s="77"/>
      <c r="H20" s="78"/>
      <c r="I20" s="78"/>
      <c r="J20" s="78"/>
      <c r="K20" s="79"/>
    </row>
    <row r="21" spans="1:11" x14ac:dyDescent="0.25">
      <c r="A21" s="75"/>
      <c r="B21" s="76"/>
      <c r="C21" s="76"/>
      <c r="D21" s="76"/>
      <c r="E21" s="77"/>
      <c r="F21" s="77"/>
      <c r="G21" s="77"/>
      <c r="H21" s="78"/>
      <c r="I21" s="78"/>
      <c r="J21" s="78"/>
      <c r="K21" s="79"/>
    </row>
    <row r="22" spans="1:11" x14ac:dyDescent="0.25">
      <c r="A22" s="75"/>
      <c r="B22" s="76"/>
      <c r="C22" s="76"/>
      <c r="D22" s="76"/>
      <c r="E22" s="77"/>
      <c r="F22" s="77"/>
      <c r="G22" s="77"/>
      <c r="H22" s="78"/>
      <c r="I22" s="78"/>
      <c r="J22" s="78"/>
      <c r="K22" s="79"/>
    </row>
    <row r="23" spans="1:11" x14ac:dyDescent="0.25">
      <c r="A23" s="75"/>
      <c r="B23" s="76"/>
      <c r="C23" s="76"/>
      <c r="D23" s="76"/>
      <c r="E23" s="77"/>
      <c r="F23" s="77"/>
      <c r="G23" s="77"/>
      <c r="H23" s="79"/>
      <c r="I23" s="78"/>
      <c r="J23" s="78"/>
      <c r="K23" s="79"/>
    </row>
    <row r="24" spans="1:11" x14ac:dyDescent="0.25">
      <c r="A24" s="75"/>
      <c r="B24" s="76"/>
      <c r="C24" s="76"/>
      <c r="D24" s="76"/>
      <c r="E24" s="77"/>
      <c r="F24" s="77"/>
      <c r="G24" s="77"/>
      <c r="H24" s="78"/>
      <c r="I24" s="78"/>
      <c r="J24" s="78"/>
      <c r="K24" s="79"/>
    </row>
    <row r="25" spans="1:11" x14ac:dyDescent="0.25">
      <c r="A25" s="75"/>
      <c r="B25" s="76"/>
      <c r="C25" s="76"/>
      <c r="D25" s="76"/>
      <c r="E25" s="77"/>
      <c r="F25" s="77"/>
      <c r="G25" s="77"/>
      <c r="H25" s="78"/>
      <c r="I25" s="79"/>
      <c r="J25" s="78"/>
      <c r="K25" s="79"/>
    </row>
    <row r="26" spans="1:11" x14ac:dyDescent="0.25">
      <c r="A26" s="75"/>
      <c r="B26" s="76"/>
      <c r="C26" s="76"/>
      <c r="D26" s="76"/>
      <c r="E26" s="77"/>
      <c r="F26" s="77"/>
      <c r="G26" s="77"/>
      <c r="H26" s="79"/>
      <c r="I26" s="79"/>
      <c r="J26" s="79"/>
      <c r="K26" s="79"/>
    </row>
    <row r="27" spans="1:11" x14ac:dyDescent="0.25">
      <c r="A27" s="75"/>
      <c r="B27" s="76"/>
      <c r="C27" s="76"/>
      <c r="D27" s="76"/>
      <c r="E27" s="77"/>
      <c r="F27" s="77"/>
      <c r="G27" s="77"/>
      <c r="H27" s="78"/>
      <c r="I27" s="78"/>
      <c r="K27" s="79"/>
    </row>
    <row r="28" spans="1:11" x14ac:dyDescent="0.25">
      <c r="A28" s="75"/>
      <c r="B28" s="76"/>
      <c r="C28" s="76"/>
      <c r="D28" s="76"/>
      <c r="E28" s="77"/>
      <c r="F28" s="77"/>
      <c r="G28" s="77"/>
      <c r="H28" s="79"/>
      <c r="I28" s="78"/>
      <c r="J28" s="78"/>
      <c r="K28" s="78"/>
    </row>
    <row r="29" spans="1:11" x14ac:dyDescent="0.25">
      <c r="A29" s="75"/>
      <c r="B29" s="76"/>
      <c r="C29" s="76"/>
      <c r="D29" s="76"/>
      <c r="E29" s="77"/>
      <c r="F29" s="77"/>
      <c r="G29" s="77"/>
      <c r="H29" s="78"/>
      <c r="I29" s="79"/>
      <c r="J29" s="78"/>
      <c r="K29" s="78"/>
    </row>
    <row r="30" spans="1:11" x14ac:dyDescent="0.25">
      <c r="A30" s="75"/>
      <c r="B30" s="76"/>
      <c r="C30" s="76"/>
      <c r="D30" s="76"/>
      <c r="E30" s="77"/>
      <c r="F30" s="77"/>
      <c r="G30" s="77"/>
      <c r="H30" s="78"/>
      <c r="I30" s="79"/>
      <c r="J30" s="78"/>
      <c r="K30" s="78"/>
    </row>
    <row r="31" spans="1:11" x14ac:dyDescent="0.25">
      <c r="A31" s="75"/>
      <c r="B31" s="76"/>
      <c r="C31" s="76"/>
      <c r="D31" s="76"/>
      <c r="E31" s="77"/>
      <c r="F31" s="77"/>
      <c r="G31" s="77"/>
      <c r="H31" s="78"/>
      <c r="I31" s="78"/>
      <c r="J31" s="78"/>
      <c r="K31" s="79"/>
    </row>
    <row r="32" spans="1:11" x14ac:dyDescent="0.25">
      <c r="A32" s="75"/>
      <c r="B32" s="76"/>
      <c r="C32" s="76"/>
      <c r="D32" s="76"/>
      <c r="E32" s="77"/>
      <c r="F32" s="77"/>
      <c r="G32" s="77"/>
      <c r="H32" s="78"/>
      <c r="I32" s="79"/>
      <c r="J32" s="78"/>
      <c r="K32" s="78"/>
    </row>
    <row r="33" spans="1:11" x14ac:dyDescent="0.25">
      <c r="A33" s="75"/>
      <c r="B33" s="76"/>
      <c r="C33" s="76"/>
      <c r="D33" s="76"/>
      <c r="E33" s="77"/>
      <c r="F33" s="77"/>
      <c r="G33" s="77"/>
      <c r="H33" s="78"/>
      <c r="I33" s="78"/>
      <c r="J33" s="78"/>
      <c r="K33" s="79"/>
    </row>
    <row r="34" spans="1:11" x14ac:dyDescent="0.25">
      <c r="A34" s="75"/>
      <c r="B34" s="76"/>
      <c r="C34" s="76"/>
      <c r="D34" s="76"/>
      <c r="E34" s="77"/>
      <c r="F34" s="77"/>
      <c r="G34" s="77"/>
      <c r="H34" s="78"/>
      <c r="I34" s="78"/>
      <c r="J34" s="78"/>
      <c r="K34" s="79"/>
    </row>
    <row r="35" spans="1:11" x14ac:dyDescent="0.25">
      <c r="A35" s="75"/>
      <c r="B35" s="76"/>
      <c r="C35" s="76"/>
      <c r="D35" s="76"/>
      <c r="E35" s="77"/>
      <c r="F35" s="77"/>
      <c r="G35" s="77"/>
      <c r="H35" s="78"/>
      <c r="I35" s="78"/>
      <c r="J35" s="78"/>
      <c r="K35" s="79"/>
    </row>
    <row r="36" spans="1:11" x14ac:dyDescent="0.25">
      <c r="A36" s="75"/>
      <c r="B36" s="76"/>
      <c r="C36" s="76"/>
      <c r="D36" s="76"/>
      <c r="E36" s="77"/>
      <c r="F36" s="77"/>
      <c r="G36" s="77"/>
      <c r="H36" s="78"/>
      <c r="I36" s="78"/>
      <c r="J36" s="78"/>
      <c r="K36" s="79"/>
    </row>
    <row r="37" spans="1:11" x14ac:dyDescent="0.25">
      <c r="A37" s="75"/>
      <c r="B37" s="76"/>
      <c r="C37" s="76"/>
      <c r="D37" s="76"/>
      <c r="E37" s="77"/>
      <c r="F37" s="77"/>
      <c r="G37" s="77"/>
      <c r="H37" s="78"/>
      <c r="I37" s="78"/>
      <c r="J37" s="78"/>
      <c r="K37" s="79"/>
    </row>
    <row r="38" spans="1:11" x14ac:dyDescent="0.25">
      <c r="A38" s="75"/>
      <c r="B38" s="76"/>
      <c r="C38" s="76"/>
      <c r="D38" s="76"/>
      <c r="E38" s="77"/>
      <c r="F38" s="77"/>
      <c r="G38" s="77"/>
      <c r="H38" s="78"/>
      <c r="I38" s="78"/>
      <c r="J38" s="78"/>
      <c r="K38" s="79"/>
    </row>
    <row r="39" spans="1:11" x14ac:dyDescent="0.25">
      <c r="A39" s="75"/>
      <c r="B39" s="76"/>
      <c r="C39" s="76"/>
      <c r="D39" s="76"/>
      <c r="E39" s="77"/>
      <c r="F39" s="77"/>
      <c r="G39" s="77"/>
      <c r="H39" s="78"/>
      <c r="I39" s="78"/>
      <c r="J39" s="78"/>
      <c r="K39" s="79"/>
    </row>
    <row r="40" spans="1:11" x14ac:dyDescent="0.25">
      <c r="A40" s="75"/>
      <c r="B40" s="76"/>
      <c r="C40" s="76"/>
      <c r="D40" s="76"/>
      <c r="E40" s="77"/>
      <c r="F40" s="77"/>
      <c r="G40" s="77"/>
      <c r="H40" s="78"/>
      <c r="I40" s="78"/>
      <c r="J40" s="78"/>
      <c r="K40" s="79"/>
    </row>
    <row r="41" spans="1:11" x14ac:dyDescent="0.25">
      <c r="A41" s="75"/>
      <c r="B41" s="76"/>
      <c r="C41" s="76"/>
      <c r="D41" s="76"/>
      <c r="E41" s="77"/>
      <c r="F41" s="77"/>
      <c r="G41" s="77"/>
      <c r="H41" s="79"/>
      <c r="I41" s="78"/>
      <c r="J41" s="78"/>
      <c r="K41" s="79"/>
    </row>
    <row r="42" spans="1:11" x14ac:dyDescent="0.25">
      <c r="A42" s="75"/>
      <c r="B42" s="76"/>
      <c r="C42" s="76"/>
      <c r="D42" s="76"/>
      <c r="E42" s="77"/>
      <c r="F42" s="77"/>
      <c r="G42" s="77"/>
      <c r="H42" s="78"/>
      <c r="I42" s="78"/>
      <c r="J42" s="78"/>
      <c r="K42" s="79"/>
    </row>
    <row r="43" spans="1:11" x14ac:dyDescent="0.25">
      <c r="A43" s="75"/>
      <c r="B43" s="76"/>
      <c r="C43" s="76"/>
      <c r="D43" s="76"/>
      <c r="E43" s="77"/>
      <c r="F43" s="77"/>
      <c r="G43" s="77"/>
      <c r="H43" s="78"/>
      <c r="I43" s="79"/>
      <c r="J43" s="78"/>
      <c r="K43" s="79"/>
    </row>
    <row r="44" spans="1:11" x14ac:dyDescent="0.25">
      <c r="A44" s="75"/>
      <c r="B44" s="76"/>
      <c r="C44" s="76"/>
      <c r="D44" s="76"/>
      <c r="E44" s="77"/>
      <c r="F44" s="77"/>
      <c r="G44" s="77"/>
      <c r="H44" s="79"/>
      <c r="I44" s="79"/>
      <c r="J44" s="79"/>
      <c r="K44" s="79"/>
    </row>
    <row r="45" spans="1:11" x14ac:dyDescent="0.25">
      <c r="A45" s="75"/>
      <c r="B45" s="76"/>
      <c r="C45" s="76"/>
      <c r="D45" s="76"/>
      <c r="E45" s="77"/>
      <c r="F45" s="77"/>
      <c r="G45" s="77"/>
      <c r="H45" s="78"/>
      <c r="I45" s="78"/>
      <c r="K45" s="79"/>
    </row>
    <row r="46" spans="1:11" x14ac:dyDescent="0.25">
      <c r="A46" s="75"/>
      <c r="B46" s="76"/>
      <c r="C46" s="76"/>
      <c r="D46" s="76"/>
      <c r="E46" s="77"/>
      <c r="F46" s="77"/>
      <c r="G46" s="77"/>
      <c r="H46" s="79"/>
      <c r="I46" s="78"/>
      <c r="J46" s="78"/>
      <c r="K46" s="78"/>
    </row>
    <row r="47" spans="1:11" x14ac:dyDescent="0.25">
      <c r="A47" s="75"/>
      <c r="B47" s="76"/>
      <c r="C47" s="76"/>
      <c r="D47" s="76"/>
      <c r="E47" s="77"/>
      <c r="F47" s="77"/>
      <c r="G47" s="77"/>
      <c r="H47" s="78"/>
      <c r="I47" s="79"/>
      <c r="J47" s="78"/>
      <c r="K47" s="78"/>
    </row>
    <row r="48" spans="1:11" x14ac:dyDescent="0.25">
      <c r="A48" s="75"/>
      <c r="B48" s="76"/>
      <c r="C48" s="76"/>
      <c r="D48" s="76"/>
      <c r="E48" s="77"/>
      <c r="F48" s="77"/>
      <c r="G48" s="77"/>
      <c r="H48" s="78"/>
      <c r="I48" s="79"/>
      <c r="J48" s="78"/>
      <c r="K48" s="78"/>
    </row>
    <row r="49" spans="1:11" x14ac:dyDescent="0.25">
      <c r="A49" s="75"/>
      <c r="B49" s="76"/>
      <c r="C49" s="76"/>
      <c r="D49" s="76"/>
      <c r="E49" s="77"/>
      <c r="F49" s="77"/>
      <c r="G49" s="77"/>
      <c r="H49" s="78"/>
      <c r="I49" s="78"/>
      <c r="J49" s="78"/>
      <c r="K49" s="79"/>
    </row>
    <row r="50" spans="1:11" x14ac:dyDescent="0.25">
      <c r="A50" s="75"/>
      <c r="B50" s="76"/>
      <c r="C50" s="76"/>
      <c r="D50" s="76"/>
      <c r="E50" s="77"/>
      <c r="F50" s="77"/>
      <c r="G50" s="77"/>
      <c r="H50" s="78"/>
      <c r="I50" s="79"/>
      <c r="J50" s="78"/>
      <c r="K50" s="78"/>
    </row>
    <row r="51" spans="1:11" x14ac:dyDescent="0.25">
      <c r="A51" s="75"/>
      <c r="B51" s="76"/>
      <c r="C51" s="76"/>
      <c r="D51" s="76"/>
      <c r="E51" s="77"/>
      <c r="F51" s="77"/>
      <c r="G51" s="77"/>
      <c r="H51" s="78"/>
      <c r="I51" s="78"/>
      <c r="J51" s="78"/>
      <c r="K51" s="79"/>
    </row>
    <row r="52" spans="1:11" x14ac:dyDescent="0.25">
      <c r="A52" s="75"/>
      <c r="B52" s="76"/>
      <c r="C52" s="76"/>
      <c r="D52" s="76"/>
      <c r="E52" s="77"/>
      <c r="F52" s="77"/>
      <c r="G52" s="77"/>
      <c r="H52" s="78"/>
      <c r="I52" s="78"/>
      <c r="J52" s="78"/>
      <c r="K52" s="79"/>
    </row>
    <row r="53" spans="1:11" x14ac:dyDescent="0.25">
      <c r="A53" s="75"/>
      <c r="B53" s="76"/>
      <c r="C53" s="76"/>
      <c r="D53" s="76"/>
      <c r="E53" s="77"/>
      <c r="F53" s="77"/>
      <c r="G53" s="77"/>
      <c r="H53" s="78"/>
      <c r="I53" s="78"/>
      <c r="J53" s="78"/>
      <c r="K53" s="79"/>
    </row>
    <row r="54" spans="1:11" x14ac:dyDescent="0.25">
      <c r="A54" s="75"/>
      <c r="B54" s="76"/>
      <c r="C54" s="76"/>
      <c r="D54" s="76"/>
      <c r="E54" s="77"/>
      <c r="F54" s="77"/>
      <c r="G54" s="77"/>
      <c r="H54" s="78"/>
      <c r="I54" s="78"/>
      <c r="J54" s="78"/>
      <c r="K54" s="79"/>
    </row>
    <row r="55" spans="1:11" x14ac:dyDescent="0.25">
      <c r="A55" s="75"/>
      <c r="B55" s="76"/>
      <c r="C55" s="76"/>
      <c r="D55" s="76"/>
      <c r="E55" s="77"/>
      <c r="F55" s="77"/>
      <c r="G55" s="77"/>
      <c r="H55" s="78"/>
      <c r="I55" s="78"/>
      <c r="J55" s="78"/>
      <c r="K55" s="79"/>
    </row>
    <row r="56" spans="1:11" x14ac:dyDescent="0.25">
      <c r="A56" s="75"/>
      <c r="B56" s="76"/>
      <c r="C56" s="76"/>
      <c r="D56" s="76"/>
      <c r="E56" s="77"/>
      <c r="F56" s="77"/>
      <c r="G56" s="77"/>
      <c r="H56" s="78"/>
      <c r="I56" s="78"/>
      <c r="J56" s="78"/>
      <c r="K56" s="79"/>
    </row>
    <row r="57" spans="1:11" x14ac:dyDescent="0.25">
      <c r="A57" s="75"/>
      <c r="B57" s="76"/>
      <c r="C57" s="76"/>
      <c r="D57" s="76"/>
      <c r="E57" s="77"/>
      <c r="F57" s="77"/>
      <c r="G57" s="77"/>
      <c r="H57" s="78"/>
      <c r="I57" s="78"/>
      <c r="J57" s="78"/>
      <c r="K57" s="79"/>
    </row>
    <row r="58" spans="1:11" x14ac:dyDescent="0.25">
      <c r="A58" s="75"/>
      <c r="B58" s="76"/>
      <c r="C58" s="76"/>
      <c r="D58" s="76"/>
      <c r="E58" s="77"/>
      <c r="F58" s="77"/>
      <c r="G58" s="77"/>
      <c r="H58" s="78"/>
      <c r="I58" s="78"/>
      <c r="J58" s="78"/>
      <c r="K58" s="79"/>
    </row>
    <row r="59" spans="1:11" x14ac:dyDescent="0.25">
      <c r="A59" s="75"/>
      <c r="B59" s="76"/>
      <c r="C59" s="76"/>
      <c r="D59" s="76"/>
      <c r="E59" s="77"/>
      <c r="F59" s="77"/>
      <c r="G59" s="77"/>
      <c r="H59" s="79"/>
      <c r="I59" s="78"/>
      <c r="J59" s="78"/>
      <c r="K59" s="79"/>
    </row>
    <row r="60" spans="1:11" x14ac:dyDescent="0.25">
      <c r="A60" s="75"/>
      <c r="B60" s="76"/>
      <c r="C60" s="76"/>
      <c r="D60" s="76"/>
      <c r="E60" s="77"/>
      <c r="F60" s="77"/>
      <c r="G60" s="77"/>
      <c r="H60" s="78"/>
      <c r="I60" s="78"/>
      <c r="J60" s="78"/>
      <c r="K60" s="79"/>
    </row>
    <row r="61" spans="1:11" x14ac:dyDescent="0.25">
      <c r="A61" s="75"/>
      <c r="B61" s="76"/>
      <c r="C61" s="76"/>
      <c r="D61" s="76"/>
      <c r="E61" s="77"/>
      <c r="F61" s="77"/>
      <c r="G61" s="77"/>
      <c r="H61" s="78"/>
      <c r="I61" s="79"/>
      <c r="J61" s="78"/>
      <c r="K61" s="79"/>
    </row>
    <row r="62" spans="1:11" x14ac:dyDescent="0.25">
      <c r="A62" s="75"/>
      <c r="B62" s="76"/>
      <c r="C62" s="76"/>
      <c r="D62" s="76"/>
      <c r="E62" s="77"/>
      <c r="F62" s="77"/>
      <c r="G62" s="77"/>
      <c r="H62" s="79"/>
      <c r="I62" s="79"/>
      <c r="J62" s="79"/>
      <c r="K62" s="79"/>
    </row>
    <row r="63" spans="1:11" x14ac:dyDescent="0.25">
      <c r="A63" s="75"/>
      <c r="B63" s="76"/>
      <c r="C63" s="76"/>
      <c r="D63" s="76"/>
      <c r="E63" s="77"/>
      <c r="F63" s="77"/>
      <c r="G63" s="77"/>
      <c r="H63" s="78"/>
      <c r="I63" s="78"/>
      <c r="K63" s="79"/>
    </row>
    <row r="64" spans="1:11" x14ac:dyDescent="0.25">
      <c r="A64" s="75"/>
      <c r="B64" s="76"/>
      <c r="C64" s="76"/>
      <c r="D64" s="76"/>
      <c r="E64" s="77"/>
      <c r="F64" s="77"/>
      <c r="G64" s="77"/>
      <c r="H64" s="79"/>
      <c r="I64" s="78"/>
      <c r="J64" s="78"/>
      <c r="K64" s="78"/>
    </row>
    <row r="65" spans="1:11" x14ac:dyDescent="0.25">
      <c r="A65" s="75"/>
      <c r="B65" s="76"/>
      <c r="C65" s="76"/>
      <c r="D65" s="76"/>
      <c r="E65" s="77"/>
      <c r="F65" s="77"/>
      <c r="G65" s="77"/>
      <c r="H65" s="78"/>
      <c r="I65" s="79"/>
      <c r="J65" s="78"/>
      <c r="K65" s="78"/>
    </row>
    <row r="66" spans="1:11" x14ac:dyDescent="0.25">
      <c r="A66" s="75"/>
      <c r="B66" s="76"/>
      <c r="C66" s="76"/>
      <c r="D66" s="76"/>
      <c r="E66" s="77"/>
      <c r="F66" s="77"/>
      <c r="G66" s="77"/>
      <c r="H66" s="78"/>
      <c r="I66" s="79"/>
      <c r="J66" s="78"/>
      <c r="K66" s="78"/>
    </row>
    <row r="67" spans="1:11" x14ac:dyDescent="0.25">
      <c r="A67" s="75"/>
      <c r="B67" s="76"/>
      <c r="C67" s="76"/>
      <c r="D67" s="76"/>
      <c r="E67" s="77"/>
      <c r="F67" s="77"/>
      <c r="G67" s="77"/>
      <c r="H67" s="78"/>
      <c r="I67" s="78"/>
      <c r="J67" s="78"/>
      <c r="K67" s="79"/>
    </row>
    <row r="68" spans="1:11" x14ac:dyDescent="0.25">
      <c r="A68" s="75"/>
      <c r="B68" s="76"/>
      <c r="C68" s="76"/>
      <c r="D68" s="76"/>
      <c r="E68" s="77"/>
      <c r="F68" s="77"/>
      <c r="G68" s="77"/>
      <c r="H68" s="78"/>
      <c r="I68" s="79"/>
      <c r="J68" s="78"/>
      <c r="K68" s="78"/>
    </row>
    <row r="69" spans="1:11" x14ac:dyDescent="0.25">
      <c r="A69" s="75"/>
      <c r="B69" s="76"/>
      <c r="C69" s="76"/>
      <c r="D69" s="76"/>
      <c r="E69" s="77"/>
      <c r="F69" s="77"/>
      <c r="G69" s="77"/>
      <c r="H69" s="78"/>
      <c r="I69" s="78"/>
      <c r="J69" s="78"/>
      <c r="K69" s="79"/>
    </row>
    <row r="70" spans="1:11" x14ac:dyDescent="0.25">
      <c r="A70" s="75"/>
      <c r="B70" s="76"/>
      <c r="C70" s="76"/>
      <c r="D70" s="76"/>
      <c r="E70" s="77"/>
      <c r="F70" s="77"/>
      <c r="G70" s="77"/>
      <c r="H70" s="78"/>
      <c r="I70" s="78"/>
      <c r="J70" s="78"/>
      <c r="K70" s="79"/>
    </row>
    <row r="71" spans="1:11" x14ac:dyDescent="0.25">
      <c r="A71" s="75"/>
      <c r="B71" s="76"/>
      <c r="C71" s="76"/>
      <c r="D71" s="76"/>
      <c r="E71" s="77"/>
      <c r="F71" s="77"/>
      <c r="G71" s="77"/>
      <c r="H71" s="78"/>
      <c r="I71" s="78"/>
      <c r="J71" s="78"/>
      <c r="K71" s="79"/>
    </row>
    <row r="72" spans="1:11" x14ac:dyDescent="0.25">
      <c r="A72" s="75"/>
      <c r="B72" s="76"/>
      <c r="C72" s="76"/>
      <c r="D72" s="76"/>
      <c r="E72" s="77"/>
      <c r="F72" s="77"/>
      <c r="G72" s="77"/>
      <c r="H72" s="78"/>
      <c r="I72" s="78"/>
      <c r="J72" s="78"/>
      <c r="K72" s="79"/>
    </row>
    <row r="73" spans="1:11" x14ac:dyDescent="0.25">
      <c r="A73" s="75"/>
      <c r="B73" s="76"/>
      <c r="C73" s="76"/>
      <c r="D73" s="76"/>
      <c r="E73" s="77"/>
      <c r="F73" s="77"/>
      <c r="G73" s="77"/>
      <c r="H73" s="78"/>
      <c r="I73" s="78"/>
      <c r="J73" s="78"/>
      <c r="K73" s="79"/>
    </row>
    <row r="74" spans="1:11" x14ac:dyDescent="0.25">
      <c r="A74" s="75"/>
      <c r="B74" s="76"/>
      <c r="C74" s="76"/>
      <c r="D74" s="76"/>
      <c r="E74" s="77"/>
      <c r="F74" s="77"/>
      <c r="G74" s="77"/>
      <c r="H74" s="78"/>
      <c r="I74" s="78"/>
      <c r="J74" s="78"/>
      <c r="K74" s="79"/>
    </row>
    <row r="75" spans="1:11" x14ac:dyDescent="0.25">
      <c r="A75" s="75"/>
      <c r="B75" s="76"/>
      <c r="C75" s="76"/>
      <c r="D75" s="76"/>
      <c r="E75" s="77"/>
      <c r="F75" s="77"/>
      <c r="G75" s="77"/>
      <c r="H75" s="78"/>
      <c r="I75" s="78"/>
      <c r="J75" s="78"/>
      <c r="K75" s="79"/>
    </row>
    <row r="76" spans="1:11" x14ac:dyDescent="0.25">
      <c r="A76" s="75"/>
      <c r="B76" s="76"/>
      <c r="C76" s="76"/>
      <c r="D76" s="76"/>
      <c r="E76" s="77"/>
      <c r="F76" s="77"/>
      <c r="G76" s="77"/>
      <c r="H76" s="78"/>
      <c r="I76" s="78"/>
      <c r="J76" s="78"/>
      <c r="K76" s="79"/>
    </row>
    <row r="77" spans="1:11" x14ac:dyDescent="0.25">
      <c r="A77" s="75"/>
      <c r="B77" s="76"/>
      <c r="C77" s="76"/>
      <c r="D77" s="76"/>
      <c r="E77" s="77"/>
      <c r="F77" s="77"/>
      <c r="G77" s="77"/>
      <c r="H77" s="79"/>
      <c r="I77" s="78"/>
      <c r="J77" s="78"/>
      <c r="K77" s="79"/>
    </row>
    <row r="78" spans="1:11" x14ac:dyDescent="0.25">
      <c r="A78" s="75"/>
      <c r="B78" s="76"/>
      <c r="C78" s="76"/>
      <c r="D78" s="76"/>
      <c r="E78" s="77"/>
      <c r="F78" s="77"/>
      <c r="G78" s="77"/>
      <c r="H78" s="78"/>
      <c r="I78" s="78"/>
      <c r="J78" s="78"/>
      <c r="K78" s="79"/>
    </row>
    <row r="79" spans="1:11" x14ac:dyDescent="0.25">
      <c r="A79" s="75"/>
      <c r="B79" s="76"/>
      <c r="C79" s="76"/>
      <c r="D79" s="76"/>
      <c r="E79" s="77"/>
      <c r="F79" s="77"/>
      <c r="G79" s="77"/>
      <c r="H79" s="78"/>
      <c r="I79" s="79"/>
      <c r="J79" s="78"/>
      <c r="K79" s="79"/>
    </row>
    <row r="80" spans="1:11" x14ac:dyDescent="0.25">
      <c r="A80" s="75"/>
      <c r="B80" s="76"/>
      <c r="C80" s="76"/>
      <c r="D80" s="76"/>
      <c r="E80" s="77"/>
      <c r="F80" s="77"/>
      <c r="G80" s="77"/>
      <c r="H80" s="79"/>
      <c r="I80" s="79"/>
      <c r="J80" s="79"/>
      <c r="K80" s="79"/>
    </row>
    <row r="81" spans="1:11" x14ac:dyDescent="0.25">
      <c r="A81" s="75"/>
      <c r="B81" s="76"/>
      <c r="C81" s="76"/>
      <c r="D81" s="76"/>
      <c r="E81" s="77"/>
      <c r="F81" s="77"/>
      <c r="G81" s="77"/>
      <c r="H81" s="78"/>
      <c r="I81" s="78"/>
      <c r="K81" s="79"/>
    </row>
    <row r="82" spans="1:11" x14ac:dyDescent="0.25">
      <c r="A82" s="75"/>
      <c r="B82" s="76"/>
      <c r="C82" s="76"/>
      <c r="D82" s="76"/>
      <c r="E82" s="77"/>
      <c r="F82" s="77"/>
      <c r="G82" s="77"/>
      <c r="H82" s="79"/>
      <c r="I82" s="78"/>
      <c r="J82" s="78"/>
      <c r="K82" s="78"/>
    </row>
    <row r="83" spans="1:11" x14ac:dyDescent="0.25">
      <c r="A83" s="75"/>
      <c r="B83" s="76"/>
      <c r="C83" s="76"/>
      <c r="D83" s="76"/>
      <c r="E83" s="77"/>
      <c r="F83" s="77"/>
      <c r="G83" s="77"/>
      <c r="H83" s="78"/>
      <c r="I83" s="79"/>
      <c r="J83" s="78"/>
      <c r="K83" s="78"/>
    </row>
    <row r="84" spans="1:11" x14ac:dyDescent="0.25">
      <c r="A84" s="75"/>
      <c r="B84" s="76"/>
      <c r="C84" s="76"/>
      <c r="D84" s="76"/>
      <c r="E84" s="77"/>
      <c r="F84" s="77"/>
      <c r="G84" s="77"/>
      <c r="H84" s="78"/>
      <c r="I84" s="79"/>
      <c r="J84" s="78"/>
      <c r="K84" s="78"/>
    </row>
    <row r="85" spans="1:11" x14ac:dyDescent="0.25">
      <c r="A85" s="75"/>
      <c r="B85" s="76"/>
      <c r="C85" s="76"/>
      <c r="D85" s="76"/>
      <c r="E85" s="77"/>
      <c r="F85" s="77"/>
      <c r="G85" s="77"/>
      <c r="H85" s="78"/>
      <c r="I85" s="78"/>
      <c r="J85" s="78"/>
      <c r="K85" s="79"/>
    </row>
    <row r="86" spans="1:11" x14ac:dyDescent="0.25">
      <c r="A86" s="75"/>
      <c r="B86" s="76"/>
      <c r="C86" s="76"/>
      <c r="D86" s="76"/>
      <c r="E86" s="77"/>
      <c r="F86" s="77"/>
      <c r="G86" s="77"/>
      <c r="H86" s="78"/>
      <c r="I86" s="79"/>
      <c r="J86" s="78"/>
      <c r="K86" s="78"/>
    </row>
    <row r="87" spans="1:11" x14ac:dyDescent="0.25">
      <c r="A87" s="75"/>
      <c r="B87" s="76"/>
      <c r="C87" s="76"/>
      <c r="D87" s="76"/>
      <c r="E87" s="77"/>
      <c r="F87" s="77"/>
      <c r="G87" s="77"/>
      <c r="H87" s="78"/>
      <c r="I87" s="78"/>
      <c r="J87" s="78"/>
      <c r="K87" s="79"/>
    </row>
    <row r="88" spans="1:11" x14ac:dyDescent="0.25">
      <c r="A88" s="75"/>
      <c r="B88" s="76"/>
      <c r="C88" s="76"/>
      <c r="D88" s="76"/>
      <c r="E88" s="77"/>
      <c r="F88" s="77"/>
      <c r="G88" s="77"/>
      <c r="H88" s="78"/>
      <c r="I88" s="78"/>
      <c r="J88" s="78"/>
      <c r="K88" s="79"/>
    </row>
    <row r="89" spans="1:11" x14ac:dyDescent="0.25">
      <c r="A89" s="75"/>
      <c r="B89" s="76"/>
      <c r="C89" s="76"/>
      <c r="D89" s="76"/>
      <c r="E89" s="77"/>
      <c r="F89" s="77"/>
      <c r="G89" s="77"/>
      <c r="H89" s="78"/>
      <c r="I89" s="78"/>
      <c r="J89" s="78"/>
      <c r="K89" s="79"/>
    </row>
    <row r="90" spans="1:11" x14ac:dyDescent="0.25">
      <c r="A90" s="75"/>
      <c r="B90" s="76"/>
      <c r="C90" s="76"/>
      <c r="D90" s="76"/>
      <c r="E90" s="77"/>
      <c r="F90" s="77"/>
      <c r="G90" s="77"/>
      <c r="H90" s="78"/>
      <c r="I90" s="78"/>
      <c r="J90" s="78"/>
      <c r="K90" s="79"/>
    </row>
    <row r="91" spans="1:11" x14ac:dyDescent="0.25">
      <c r="A91" s="75"/>
      <c r="B91" s="76"/>
      <c r="C91" s="76"/>
      <c r="D91" s="76"/>
      <c r="E91" s="77"/>
      <c r="F91" s="77"/>
      <c r="G91" s="77"/>
      <c r="H91" s="78"/>
      <c r="I91" s="78"/>
      <c r="J91" s="78"/>
      <c r="K91" s="79"/>
    </row>
    <row r="92" spans="1:11" x14ac:dyDescent="0.25">
      <c r="A92" s="75"/>
      <c r="B92" s="76"/>
      <c r="C92" s="76"/>
      <c r="D92" s="76"/>
      <c r="E92" s="77"/>
      <c r="F92" s="77"/>
      <c r="G92" s="77"/>
      <c r="H92" s="78"/>
      <c r="I92" s="78"/>
      <c r="J92" s="78"/>
      <c r="K92" s="79"/>
    </row>
    <row r="93" spans="1:11" x14ac:dyDescent="0.25">
      <c r="A93" s="75"/>
      <c r="B93" s="76"/>
      <c r="C93" s="76"/>
      <c r="D93" s="76"/>
      <c r="E93" s="77"/>
      <c r="F93" s="77"/>
      <c r="G93" s="77"/>
      <c r="H93" s="78"/>
      <c r="I93" s="78"/>
      <c r="J93" s="78"/>
      <c r="K93" s="79"/>
    </row>
    <row r="94" spans="1:11" x14ac:dyDescent="0.25">
      <c r="A94" s="75"/>
      <c r="B94" s="76"/>
      <c r="C94" s="76"/>
      <c r="D94" s="76"/>
      <c r="E94" s="77"/>
      <c r="F94" s="77"/>
      <c r="G94" s="77"/>
      <c r="H94" s="78"/>
      <c r="I94" s="78"/>
      <c r="J94" s="78"/>
      <c r="K94" s="79"/>
    </row>
    <row r="95" spans="1:11" x14ac:dyDescent="0.25">
      <c r="A95" s="75"/>
      <c r="B95" s="76"/>
      <c r="C95" s="76"/>
      <c r="D95" s="76"/>
      <c r="E95" s="77"/>
      <c r="F95" s="77"/>
      <c r="G95" s="77"/>
      <c r="H95" s="79"/>
      <c r="I95" s="78"/>
      <c r="J95" s="78"/>
      <c r="K95" s="79"/>
    </row>
    <row r="96" spans="1:11" x14ac:dyDescent="0.25">
      <c r="A96" s="75"/>
      <c r="B96" s="76"/>
      <c r="C96" s="76"/>
      <c r="D96" s="76"/>
      <c r="E96" s="77"/>
      <c r="F96" s="77"/>
      <c r="G96" s="77"/>
      <c r="H96" s="78"/>
      <c r="I96" s="78"/>
      <c r="J96" s="78"/>
      <c r="K96" s="79"/>
    </row>
    <row r="97" spans="1:11" x14ac:dyDescent="0.25">
      <c r="A97" s="75"/>
      <c r="B97" s="76"/>
      <c r="C97" s="76"/>
      <c r="D97" s="76"/>
      <c r="E97" s="77"/>
      <c r="F97" s="77"/>
      <c r="G97" s="77"/>
      <c r="H97" s="78"/>
      <c r="I97" s="79"/>
      <c r="J97" s="78"/>
      <c r="K97" s="79"/>
    </row>
    <row r="98" spans="1:11" x14ac:dyDescent="0.25">
      <c r="A98" s="75"/>
      <c r="B98" s="76"/>
      <c r="C98" s="76"/>
      <c r="D98" s="76"/>
      <c r="E98" s="77"/>
      <c r="F98" s="77"/>
      <c r="G98" s="77"/>
      <c r="H98" s="79"/>
      <c r="I98" s="79"/>
      <c r="J98" s="79"/>
      <c r="K98" s="79"/>
    </row>
    <row r="99" spans="1:11" x14ac:dyDescent="0.25">
      <c r="A99" s="75"/>
      <c r="B99" s="76"/>
      <c r="C99" s="76"/>
      <c r="D99" s="76"/>
      <c r="E99" s="77"/>
      <c r="F99" s="77"/>
      <c r="G99" s="77"/>
      <c r="H99" s="78"/>
      <c r="I99" s="78"/>
      <c r="K99" s="79"/>
    </row>
    <row r="100" spans="1:11" x14ac:dyDescent="0.25">
      <c r="A100" s="75"/>
      <c r="B100" s="76"/>
      <c r="C100" s="76"/>
      <c r="D100" s="76"/>
      <c r="E100" s="77"/>
      <c r="F100" s="77"/>
      <c r="G100" s="77"/>
      <c r="H100" s="79"/>
      <c r="I100" s="78"/>
      <c r="J100" s="78"/>
      <c r="K100" s="78"/>
    </row>
    <row r="101" spans="1:11" x14ac:dyDescent="0.25">
      <c r="A101" s="75"/>
      <c r="B101" s="76"/>
      <c r="C101" s="76"/>
      <c r="D101" s="76"/>
      <c r="E101" s="77"/>
      <c r="F101" s="77"/>
      <c r="G101" s="77"/>
      <c r="H101" s="78"/>
      <c r="I101" s="79"/>
      <c r="J101" s="78"/>
      <c r="K101" s="78"/>
    </row>
    <row r="102" spans="1:11" x14ac:dyDescent="0.25">
      <c r="A102" s="75"/>
      <c r="B102" s="76"/>
      <c r="C102" s="76"/>
      <c r="D102" s="76"/>
      <c r="E102" s="77"/>
      <c r="F102" s="77"/>
      <c r="G102" s="77"/>
      <c r="H102" s="78"/>
      <c r="I102" s="79"/>
      <c r="J102" s="78"/>
      <c r="K102" s="78"/>
    </row>
    <row r="103" spans="1:11" x14ac:dyDescent="0.25">
      <c r="A103" s="75"/>
      <c r="B103" s="76"/>
      <c r="C103" s="76"/>
      <c r="D103" s="76"/>
      <c r="E103" s="77"/>
      <c r="F103" s="77"/>
      <c r="G103" s="77"/>
      <c r="H103" s="78"/>
      <c r="I103" s="78"/>
      <c r="J103" s="78"/>
      <c r="K103" s="79"/>
    </row>
    <row r="104" spans="1:11" x14ac:dyDescent="0.25">
      <c r="A104" s="75"/>
      <c r="B104" s="76"/>
      <c r="C104" s="76"/>
      <c r="D104" s="76"/>
      <c r="E104" s="77"/>
      <c r="F104" s="77"/>
      <c r="G104" s="77"/>
      <c r="H104" s="78"/>
      <c r="I104" s="79"/>
      <c r="J104" s="78"/>
      <c r="K104" s="78"/>
    </row>
    <row r="105" spans="1:11" x14ac:dyDescent="0.25">
      <c r="A105" s="75"/>
      <c r="B105" s="76"/>
      <c r="C105" s="76"/>
      <c r="D105" s="76"/>
      <c r="E105" s="77"/>
      <c r="F105" s="77"/>
      <c r="G105" s="77"/>
      <c r="H105" s="78"/>
      <c r="I105" s="78"/>
      <c r="J105" s="78"/>
      <c r="K105" s="79"/>
    </row>
    <row r="106" spans="1:11" x14ac:dyDescent="0.25">
      <c r="A106" s="75"/>
      <c r="B106" s="76"/>
      <c r="C106" s="76"/>
      <c r="D106" s="76"/>
      <c r="E106" s="77"/>
      <c r="F106" s="77"/>
      <c r="G106" s="77"/>
      <c r="H106" s="78"/>
      <c r="I106" s="78"/>
      <c r="J106" s="78"/>
      <c r="K106" s="79"/>
    </row>
    <row r="107" spans="1:11" x14ac:dyDescent="0.25">
      <c r="A107" s="75"/>
      <c r="B107" s="76"/>
      <c r="C107" s="76"/>
      <c r="D107" s="76"/>
      <c r="E107" s="77"/>
      <c r="F107" s="77"/>
      <c r="G107" s="77"/>
      <c r="H107" s="78"/>
      <c r="I107" s="78"/>
      <c r="J107" s="78"/>
      <c r="K107" s="79"/>
    </row>
    <row r="108" spans="1:11" x14ac:dyDescent="0.25">
      <c r="A108" s="75"/>
      <c r="B108" s="76"/>
      <c r="C108" s="76"/>
      <c r="D108" s="76"/>
      <c r="E108" s="77"/>
      <c r="F108" s="77"/>
      <c r="G108" s="77"/>
      <c r="H108" s="78"/>
      <c r="I108" s="78"/>
      <c r="J108" s="78"/>
      <c r="K108" s="79"/>
    </row>
    <row r="109" spans="1:11" x14ac:dyDescent="0.25">
      <c r="A109" s="75"/>
      <c r="B109" s="76"/>
      <c r="C109" s="76"/>
      <c r="D109" s="76"/>
      <c r="E109" s="77"/>
      <c r="F109" s="77"/>
      <c r="G109" s="77"/>
      <c r="H109" s="78"/>
      <c r="I109" s="78"/>
      <c r="J109" s="78"/>
      <c r="K109" s="79"/>
    </row>
    <row r="110" spans="1:11" x14ac:dyDescent="0.25">
      <c r="A110" s="75"/>
      <c r="B110" s="76"/>
      <c r="C110" s="76"/>
      <c r="D110" s="76"/>
      <c r="E110" s="77"/>
      <c r="F110" s="77"/>
      <c r="G110" s="77"/>
      <c r="H110" s="78"/>
      <c r="I110" s="78"/>
      <c r="J110" s="78"/>
      <c r="K110" s="79"/>
    </row>
    <row r="111" spans="1:11" x14ac:dyDescent="0.25">
      <c r="A111" s="75"/>
      <c r="B111" s="76"/>
      <c r="C111" s="76"/>
      <c r="D111" s="76"/>
      <c r="E111" s="77"/>
      <c r="F111" s="77"/>
      <c r="G111" s="77"/>
      <c r="H111" s="78"/>
      <c r="I111" s="78"/>
      <c r="J111" s="78"/>
      <c r="K111" s="79"/>
    </row>
    <row r="112" spans="1:11" x14ac:dyDescent="0.25">
      <c r="A112" s="75"/>
      <c r="B112" s="76"/>
      <c r="C112" s="76"/>
      <c r="D112" s="76"/>
      <c r="E112" s="77"/>
      <c r="F112" s="77"/>
      <c r="G112" s="77"/>
      <c r="H112" s="78"/>
      <c r="I112" s="78"/>
      <c r="J112" s="78"/>
      <c r="K112" s="79"/>
    </row>
    <row r="113" spans="1:11" x14ac:dyDescent="0.25">
      <c r="A113" s="75"/>
      <c r="B113" s="76"/>
      <c r="C113" s="76"/>
      <c r="D113" s="76"/>
      <c r="E113" s="77"/>
      <c r="F113" s="77"/>
      <c r="G113" s="77"/>
      <c r="H113" s="79"/>
      <c r="I113" s="78"/>
      <c r="J113" s="78"/>
      <c r="K113" s="79"/>
    </row>
    <row r="114" spans="1:11" x14ac:dyDescent="0.25">
      <c r="A114" s="75"/>
      <c r="B114" s="76"/>
      <c r="C114" s="76"/>
      <c r="D114" s="76"/>
      <c r="E114" s="77"/>
      <c r="F114" s="77"/>
      <c r="G114" s="77"/>
      <c r="H114" s="78"/>
      <c r="I114" s="78"/>
      <c r="J114" s="78"/>
      <c r="K114" s="79"/>
    </row>
    <row r="115" spans="1:11" x14ac:dyDescent="0.25">
      <c r="A115" s="75"/>
      <c r="B115" s="76"/>
      <c r="C115" s="76"/>
      <c r="D115" s="76"/>
      <c r="E115" s="77"/>
      <c r="F115" s="77"/>
      <c r="G115" s="77"/>
      <c r="H115" s="78"/>
      <c r="I115" s="79"/>
      <c r="J115" s="78"/>
      <c r="K115" s="79"/>
    </row>
    <row r="116" spans="1:11" x14ac:dyDescent="0.25">
      <c r="A116" s="75"/>
      <c r="B116" s="76"/>
      <c r="C116" s="76"/>
      <c r="D116" s="76"/>
      <c r="E116" s="77"/>
      <c r="F116" s="77"/>
      <c r="G116" s="77"/>
      <c r="H116" s="79"/>
      <c r="I116" s="79"/>
      <c r="J116" s="79"/>
      <c r="K116" s="79"/>
    </row>
    <row r="117" spans="1:11" x14ac:dyDescent="0.25">
      <c r="A117" s="75"/>
      <c r="B117" s="76"/>
      <c r="C117" s="76"/>
      <c r="D117" s="76"/>
      <c r="E117" s="77"/>
      <c r="F117" s="77"/>
      <c r="G117" s="77"/>
      <c r="H117" s="78"/>
      <c r="I117" s="78"/>
      <c r="K117" s="79"/>
    </row>
    <row r="118" spans="1:11" x14ac:dyDescent="0.25">
      <c r="A118" s="75"/>
      <c r="B118" s="76"/>
      <c r="C118" s="76"/>
      <c r="D118" s="76"/>
      <c r="E118" s="77"/>
      <c r="F118" s="77"/>
      <c r="G118" s="77"/>
      <c r="H118" s="79"/>
      <c r="I118" s="78"/>
      <c r="J118" s="78"/>
      <c r="K118" s="78"/>
    </row>
    <row r="119" spans="1:11" x14ac:dyDescent="0.25">
      <c r="A119" s="75"/>
      <c r="B119" s="76"/>
      <c r="C119" s="76"/>
      <c r="D119" s="76"/>
      <c r="E119" s="77"/>
      <c r="F119" s="77"/>
      <c r="G119" s="77"/>
      <c r="H119" s="78"/>
      <c r="I119" s="79"/>
      <c r="J119" s="78"/>
      <c r="K119" s="78"/>
    </row>
    <row r="120" spans="1:11" x14ac:dyDescent="0.25">
      <c r="A120" s="75"/>
      <c r="B120" s="76"/>
      <c r="C120" s="76"/>
      <c r="D120" s="76"/>
      <c r="E120" s="77"/>
      <c r="F120" s="77"/>
      <c r="G120" s="77"/>
      <c r="H120" s="78"/>
      <c r="I120" s="79"/>
      <c r="J120" s="78"/>
      <c r="K120" s="78"/>
    </row>
    <row r="121" spans="1:11" x14ac:dyDescent="0.25">
      <c r="A121" s="75"/>
      <c r="B121" s="76"/>
      <c r="C121" s="76"/>
      <c r="D121" s="76"/>
      <c r="E121" s="77"/>
      <c r="F121" s="77"/>
      <c r="G121" s="77"/>
      <c r="H121" s="78"/>
      <c r="I121" s="78"/>
      <c r="J121" s="78"/>
      <c r="K121" s="79"/>
    </row>
    <row r="122" spans="1:11" x14ac:dyDescent="0.25">
      <c r="A122" s="75"/>
      <c r="B122" s="76"/>
      <c r="C122" s="76"/>
      <c r="D122" s="76"/>
      <c r="E122" s="77"/>
      <c r="F122" s="77"/>
      <c r="G122" s="77"/>
      <c r="H122" s="78"/>
      <c r="I122" s="79"/>
      <c r="J122" s="78"/>
      <c r="K122" s="78"/>
    </row>
    <row r="123" spans="1:11" x14ac:dyDescent="0.25">
      <c r="A123" s="75"/>
      <c r="B123" s="76"/>
      <c r="C123" s="76"/>
      <c r="D123" s="76"/>
      <c r="E123" s="77"/>
      <c r="F123" s="77"/>
      <c r="G123" s="77"/>
      <c r="H123" s="78"/>
      <c r="I123" s="78"/>
      <c r="J123" s="78"/>
      <c r="K123" s="79"/>
    </row>
    <row r="124" spans="1:11" x14ac:dyDescent="0.25">
      <c r="A124" s="75"/>
      <c r="B124" s="76"/>
      <c r="C124" s="76"/>
      <c r="D124" s="76"/>
      <c r="E124" s="77"/>
      <c r="F124" s="77"/>
      <c r="G124" s="77"/>
      <c r="H124" s="78"/>
      <c r="I124" s="78"/>
      <c r="J124" s="78"/>
      <c r="K124" s="79"/>
    </row>
    <row r="125" spans="1:11" x14ac:dyDescent="0.25">
      <c r="A125" s="75"/>
      <c r="B125" s="76"/>
      <c r="C125" s="76"/>
      <c r="D125" s="76"/>
      <c r="E125" s="77"/>
      <c r="F125" s="77"/>
      <c r="G125" s="77"/>
      <c r="H125" s="78"/>
      <c r="I125" s="78"/>
      <c r="J125" s="78"/>
      <c r="K125" s="79"/>
    </row>
    <row r="126" spans="1:11" x14ac:dyDescent="0.25">
      <c r="A126" s="75"/>
      <c r="B126" s="76"/>
      <c r="C126" s="76"/>
      <c r="D126" s="76"/>
      <c r="E126" s="77"/>
      <c r="F126" s="77"/>
      <c r="G126" s="77"/>
      <c r="H126" s="78"/>
      <c r="I126" s="78"/>
      <c r="J126" s="78"/>
      <c r="K126" s="79"/>
    </row>
    <row r="127" spans="1:11" x14ac:dyDescent="0.25">
      <c r="A127" s="75"/>
      <c r="B127" s="76"/>
      <c r="C127" s="76"/>
      <c r="D127" s="76"/>
      <c r="E127" s="77"/>
      <c r="F127" s="77"/>
      <c r="G127" s="77"/>
      <c r="H127" s="78"/>
      <c r="I127" s="78"/>
      <c r="J127" s="78"/>
      <c r="K127" s="79"/>
    </row>
    <row r="128" spans="1:11" x14ac:dyDescent="0.25">
      <c r="A128" s="75"/>
      <c r="B128" s="76"/>
      <c r="C128" s="76"/>
      <c r="D128" s="76"/>
      <c r="E128" s="77"/>
      <c r="F128" s="77"/>
      <c r="G128" s="77"/>
      <c r="H128" s="78"/>
      <c r="I128" s="78"/>
      <c r="J128" s="78"/>
      <c r="K128" s="79"/>
    </row>
    <row r="129" spans="1:11" x14ac:dyDescent="0.25">
      <c r="A129" s="75"/>
      <c r="B129" s="76"/>
      <c r="C129" s="76"/>
      <c r="D129" s="76"/>
      <c r="E129" s="77"/>
      <c r="F129" s="77"/>
      <c r="G129" s="77"/>
      <c r="H129" s="78"/>
      <c r="I129" s="78"/>
      <c r="J129" s="78"/>
      <c r="K129" s="79"/>
    </row>
    <row r="130" spans="1:11" x14ac:dyDescent="0.25">
      <c r="A130" s="75"/>
      <c r="B130" s="76"/>
      <c r="C130" s="76"/>
      <c r="D130" s="76"/>
      <c r="E130" s="77"/>
      <c r="F130" s="77"/>
      <c r="G130" s="77"/>
      <c r="H130" s="78"/>
      <c r="I130" s="78"/>
      <c r="J130" s="78"/>
      <c r="K130" s="79"/>
    </row>
    <row r="131" spans="1:11" x14ac:dyDescent="0.25">
      <c r="A131" s="75"/>
      <c r="B131" s="76"/>
      <c r="C131" s="76"/>
      <c r="D131" s="76"/>
      <c r="E131" s="77"/>
      <c r="F131" s="77"/>
      <c r="G131" s="77"/>
      <c r="H131" s="79"/>
      <c r="I131" s="78"/>
      <c r="J131" s="78"/>
      <c r="K131" s="79"/>
    </row>
    <row r="132" spans="1:11" x14ac:dyDescent="0.25">
      <c r="A132" s="75"/>
      <c r="B132" s="76"/>
      <c r="C132" s="76"/>
      <c r="D132" s="76"/>
      <c r="E132" s="77"/>
      <c r="F132" s="77"/>
      <c r="G132" s="77"/>
      <c r="H132" s="78"/>
      <c r="I132" s="78"/>
      <c r="J132" s="78"/>
      <c r="K132" s="79"/>
    </row>
    <row r="133" spans="1:11" x14ac:dyDescent="0.25">
      <c r="A133" s="75"/>
      <c r="B133" s="76"/>
      <c r="C133" s="76"/>
      <c r="D133" s="76"/>
      <c r="E133" s="77"/>
      <c r="F133" s="77"/>
      <c r="G133" s="77"/>
      <c r="H133" s="78"/>
      <c r="I133" s="79"/>
      <c r="J133" s="78"/>
      <c r="K133" s="79"/>
    </row>
    <row r="134" spans="1:11" x14ac:dyDescent="0.25">
      <c r="A134" s="75"/>
      <c r="B134" s="76"/>
      <c r="C134" s="76"/>
      <c r="D134" s="76"/>
      <c r="E134" s="77"/>
      <c r="F134" s="77"/>
      <c r="G134" s="77"/>
      <c r="H134" s="79"/>
      <c r="I134" s="79"/>
      <c r="J134" s="79"/>
      <c r="K134" s="79"/>
    </row>
    <row r="135" spans="1:11" x14ac:dyDescent="0.25">
      <c r="A135" s="75"/>
      <c r="B135" s="76"/>
      <c r="C135" s="76"/>
      <c r="D135" s="76"/>
      <c r="E135" s="77"/>
      <c r="F135" s="77"/>
      <c r="G135" s="77"/>
      <c r="H135" s="78"/>
      <c r="I135" s="78"/>
      <c r="K135" s="79"/>
    </row>
    <row r="136" spans="1:11" x14ac:dyDescent="0.25">
      <c r="A136" s="75"/>
      <c r="B136" s="76"/>
      <c r="C136" s="76"/>
      <c r="D136" s="76"/>
      <c r="E136" s="77"/>
      <c r="F136" s="77"/>
      <c r="G136" s="77"/>
      <c r="H136" s="79"/>
      <c r="I136" s="78"/>
      <c r="J136" s="78"/>
      <c r="K136" s="78"/>
    </row>
    <row r="137" spans="1:11" x14ac:dyDescent="0.25">
      <c r="A137" s="75"/>
      <c r="B137" s="76"/>
      <c r="C137" s="76"/>
      <c r="D137" s="76"/>
      <c r="E137" s="77"/>
      <c r="F137" s="77"/>
      <c r="G137" s="77"/>
      <c r="H137" s="78"/>
      <c r="I137" s="79"/>
      <c r="J137" s="78"/>
      <c r="K137" s="78"/>
    </row>
    <row r="138" spans="1:11" x14ac:dyDescent="0.25">
      <c r="A138" s="75"/>
      <c r="B138" s="76"/>
      <c r="C138" s="76"/>
      <c r="D138" s="76"/>
      <c r="E138" s="77"/>
      <c r="F138" s="77"/>
      <c r="G138" s="77"/>
      <c r="H138" s="78"/>
      <c r="I138" s="79"/>
      <c r="J138" s="78"/>
      <c r="K138" s="78"/>
    </row>
    <row r="139" spans="1:11" x14ac:dyDescent="0.25">
      <c r="A139" s="75"/>
      <c r="B139" s="76"/>
      <c r="C139" s="76"/>
      <c r="D139" s="76"/>
      <c r="E139" s="77"/>
      <c r="F139" s="77"/>
      <c r="G139" s="77"/>
      <c r="H139" s="78"/>
      <c r="I139" s="78"/>
      <c r="J139" s="78"/>
      <c r="K139" s="79"/>
    </row>
    <row r="140" spans="1:11" x14ac:dyDescent="0.25">
      <c r="A140" s="75"/>
      <c r="B140" s="76"/>
      <c r="C140" s="76"/>
      <c r="D140" s="76"/>
      <c r="E140" s="77"/>
      <c r="F140" s="77"/>
      <c r="G140" s="77"/>
      <c r="H140" s="78"/>
      <c r="I140" s="79"/>
      <c r="J140" s="78"/>
      <c r="K140" s="78"/>
    </row>
    <row r="141" spans="1:11" x14ac:dyDescent="0.25">
      <c r="A141" s="75"/>
      <c r="B141" s="76"/>
      <c r="C141" s="76"/>
      <c r="D141" s="76"/>
      <c r="E141" s="77"/>
      <c r="F141" s="77"/>
      <c r="G141" s="77"/>
      <c r="H141" s="78"/>
      <c r="I141" s="78"/>
      <c r="J141" s="78"/>
      <c r="K141" s="79"/>
    </row>
    <row r="142" spans="1:11" x14ac:dyDescent="0.25">
      <c r="A142" s="75"/>
      <c r="B142" s="76"/>
      <c r="C142" s="76"/>
      <c r="D142" s="76"/>
      <c r="E142" s="77"/>
      <c r="F142" s="77"/>
      <c r="G142" s="77"/>
      <c r="H142" s="78"/>
      <c r="I142" s="78"/>
      <c r="J142" s="78"/>
      <c r="K142" s="79"/>
    </row>
    <row r="143" spans="1:11" x14ac:dyDescent="0.25">
      <c r="A143" s="75"/>
      <c r="B143" s="76"/>
      <c r="C143" s="76"/>
      <c r="D143" s="76"/>
      <c r="E143" s="77"/>
      <c r="F143" s="77"/>
      <c r="G143" s="77"/>
      <c r="H143" s="78"/>
      <c r="I143" s="78"/>
      <c r="J143" s="78"/>
      <c r="K143" s="79"/>
    </row>
    <row r="144" spans="1:11" x14ac:dyDescent="0.25">
      <c r="A144" s="75"/>
      <c r="B144" s="76"/>
      <c r="C144" s="76"/>
      <c r="D144" s="76"/>
      <c r="E144" s="77"/>
      <c r="F144" s="77"/>
      <c r="G144" s="77"/>
      <c r="H144" s="78"/>
      <c r="I144" s="78"/>
      <c r="J144" s="78"/>
      <c r="K144" s="79"/>
    </row>
    <row r="145" spans="1:11" x14ac:dyDescent="0.25">
      <c r="A145" s="75"/>
      <c r="B145" s="76"/>
      <c r="C145" s="76"/>
      <c r="D145" s="76"/>
      <c r="E145" s="77"/>
      <c r="F145" s="77"/>
      <c r="G145" s="77"/>
      <c r="H145" s="78"/>
      <c r="I145" s="78"/>
      <c r="J145" s="78"/>
      <c r="K145" s="79"/>
    </row>
    <row r="146" spans="1:11" x14ac:dyDescent="0.25">
      <c r="A146" s="75"/>
      <c r="B146" s="76"/>
      <c r="C146" s="76"/>
      <c r="D146" s="76"/>
      <c r="E146" s="77"/>
      <c r="F146" s="77"/>
      <c r="G146" s="77"/>
      <c r="H146" s="78"/>
      <c r="I146" s="78"/>
      <c r="J146" s="78"/>
      <c r="K146" s="79"/>
    </row>
    <row r="147" spans="1:11" x14ac:dyDescent="0.25">
      <c r="A147" s="75"/>
      <c r="B147" s="76"/>
      <c r="C147" s="76"/>
      <c r="D147" s="76"/>
      <c r="E147" s="77"/>
      <c r="F147" s="77"/>
      <c r="G147" s="77"/>
      <c r="H147" s="78"/>
      <c r="I147" s="78"/>
      <c r="J147" s="78"/>
      <c r="K147" s="79"/>
    </row>
    <row r="148" spans="1:11" x14ac:dyDescent="0.25">
      <c r="A148" s="75"/>
      <c r="B148" s="76"/>
      <c r="C148" s="76"/>
      <c r="D148" s="76"/>
      <c r="E148" s="77"/>
      <c r="F148" s="77"/>
      <c r="G148" s="77"/>
      <c r="H148" s="78"/>
      <c r="I148" s="78"/>
      <c r="J148" s="78"/>
      <c r="K148" s="79"/>
    </row>
    <row r="149" spans="1:11" x14ac:dyDescent="0.25">
      <c r="A149" s="75"/>
      <c r="B149" s="76"/>
      <c r="C149" s="76"/>
      <c r="D149" s="76"/>
      <c r="E149" s="77"/>
      <c r="F149" s="77"/>
      <c r="G149" s="77"/>
      <c r="H149" s="79"/>
      <c r="I149" s="78"/>
      <c r="J149" s="78"/>
      <c r="K149" s="79"/>
    </row>
    <row r="150" spans="1:11" x14ac:dyDescent="0.25">
      <c r="A150" s="75"/>
      <c r="B150" s="76"/>
      <c r="C150" s="76"/>
      <c r="D150" s="76"/>
      <c r="E150" s="77"/>
      <c r="F150" s="77"/>
      <c r="G150" s="77"/>
      <c r="H150" s="78"/>
      <c r="I150" s="78"/>
      <c r="J150" s="78"/>
      <c r="K150" s="79"/>
    </row>
    <row r="151" spans="1:11" x14ac:dyDescent="0.25">
      <c r="A151" s="75"/>
      <c r="B151" s="76"/>
      <c r="C151" s="76"/>
      <c r="D151" s="76"/>
      <c r="E151" s="77"/>
      <c r="F151" s="77"/>
      <c r="G151" s="77"/>
      <c r="H151" s="78"/>
      <c r="I151" s="79"/>
      <c r="J151" s="78"/>
      <c r="K151" s="79"/>
    </row>
    <row r="152" spans="1:11" x14ac:dyDescent="0.25">
      <c r="A152" s="75"/>
      <c r="B152" s="76"/>
      <c r="C152" s="76"/>
      <c r="D152" s="76"/>
      <c r="E152" s="77"/>
      <c r="F152" s="77"/>
      <c r="G152" s="77"/>
      <c r="H152" s="79"/>
      <c r="I152" s="79"/>
      <c r="J152" s="79"/>
      <c r="K152" s="79"/>
    </row>
    <row r="153" spans="1:11" x14ac:dyDescent="0.25">
      <c r="A153" s="75"/>
      <c r="B153" s="76"/>
      <c r="C153" s="76"/>
      <c r="D153" s="76"/>
      <c r="E153" s="77"/>
      <c r="F153" s="77"/>
      <c r="G153" s="77"/>
      <c r="H153" s="78"/>
      <c r="I153" s="78"/>
      <c r="K153" s="79"/>
    </row>
    <row r="154" spans="1:11" x14ac:dyDescent="0.25">
      <c r="A154" s="75"/>
      <c r="B154" s="76"/>
      <c r="C154" s="76"/>
      <c r="D154" s="76"/>
      <c r="E154" s="77"/>
      <c r="F154" s="77"/>
      <c r="G154" s="77"/>
      <c r="H154" s="79"/>
      <c r="I154" s="78"/>
      <c r="J154" s="78"/>
      <c r="K154" s="78"/>
    </row>
    <row r="155" spans="1:11" x14ac:dyDescent="0.25">
      <c r="A155" s="75"/>
      <c r="B155" s="76"/>
      <c r="C155" s="76"/>
      <c r="D155" s="76"/>
      <c r="E155" s="77"/>
      <c r="F155" s="77"/>
      <c r="G155" s="77"/>
      <c r="H155" s="78"/>
      <c r="I155" s="79"/>
      <c r="J155" s="78"/>
      <c r="K155" s="78"/>
    </row>
    <row r="156" spans="1:11" x14ac:dyDescent="0.25">
      <c r="A156" s="75"/>
      <c r="B156" s="76"/>
      <c r="C156" s="76"/>
      <c r="D156" s="76"/>
      <c r="E156" s="77"/>
      <c r="F156" s="77"/>
      <c r="G156" s="77"/>
      <c r="H156" s="78"/>
      <c r="I156" s="79"/>
      <c r="J156" s="78"/>
      <c r="K156" s="78"/>
    </row>
    <row r="157" spans="1:11" x14ac:dyDescent="0.25">
      <c r="A157" s="75"/>
      <c r="B157" s="76"/>
      <c r="C157" s="76"/>
      <c r="D157" s="76"/>
      <c r="E157" s="77"/>
      <c r="F157" s="77"/>
      <c r="G157" s="77"/>
      <c r="H157" s="78"/>
      <c r="I157" s="78"/>
      <c r="J157" s="78"/>
      <c r="K157" s="79"/>
    </row>
    <row r="158" spans="1:11" x14ac:dyDescent="0.25">
      <c r="A158" s="75"/>
      <c r="B158" s="76"/>
      <c r="C158" s="76"/>
      <c r="D158" s="76"/>
      <c r="E158" s="77"/>
      <c r="F158" s="77"/>
      <c r="G158" s="77"/>
      <c r="H158" s="78"/>
      <c r="I158" s="79"/>
      <c r="J158" s="78"/>
      <c r="K158" s="78"/>
    </row>
    <row r="159" spans="1:11" x14ac:dyDescent="0.25">
      <c r="A159" s="75"/>
      <c r="B159" s="76"/>
      <c r="C159" s="76"/>
      <c r="D159" s="76"/>
      <c r="E159" s="77"/>
      <c r="F159" s="77"/>
      <c r="G159" s="77"/>
      <c r="H159" s="78"/>
      <c r="I159" s="78"/>
      <c r="J159" s="78"/>
      <c r="K159" s="79"/>
    </row>
    <row r="160" spans="1:11" x14ac:dyDescent="0.25">
      <c r="A160" s="75"/>
      <c r="B160" s="76"/>
      <c r="C160" s="76"/>
      <c r="D160" s="76"/>
      <c r="E160" s="77"/>
      <c r="F160" s="77"/>
      <c r="G160" s="77"/>
      <c r="H160" s="78"/>
      <c r="I160" s="78"/>
      <c r="J160" s="78"/>
      <c r="K160" s="79"/>
    </row>
    <row r="161" spans="1:11" x14ac:dyDescent="0.25">
      <c r="A161" s="75"/>
      <c r="B161" s="76"/>
      <c r="C161" s="76"/>
      <c r="D161" s="76"/>
      <c r="E161" s="77"/>
      <c r="F161" s="77"/>
      <c r="G161" s="77"/>
      <c r="H161" s="78"/>
      <c r="I161" s="78"/>
      <c r="J161" s="78"/>
      <c r="K161" s="79"/>
    </row>
    <row r="162" spans="1:11" x14ac:dyDescent="0.25">
      <c r="A162" s="75"/>
      <c r="B162" s="76"/>
      <c r="C162" s="76"/>
      <c r="D162" s="76"/>
      <c r="E162" s="77"/>
      <c r="F162" s="77"/>
      <c r="G162" s="77"/>
      <c r="H162" s="78"/>
      <c r="I162" s="78"/>
      <c r="J162" s="78"/>
      <c r="K162" s="79"/>
    </row>
    <row r="163" spans="1:11" x14ac:dyDescent="0.25">
      <c r="A163" s="75"/>
      <c r="B163" s="76"/>
      <c r="C163" s="76"/>
      <c r="D163" s="76"/>
      <c r="E163" s="77"/>
      <c r="F163" s="77"/>
      <c r="G163" s="77"/>
      <c r="H163" s="78"/>
      <c r="I163" s="78"/>
      <c r="J163" s="78"/>
      <c r="K163" s="79"/>
    </row>
    <row r="164" spans="1:11" x14ac:dyDescent="0.25">
      <c r="A164" s="75"/>
      <c r="B164" s="76"/>
      <c r="C164" s="76"/>
      <c r="D164" s="76"/>
      <c r="E164" s="77"/>
      <c r="F164" s="77"/>
      <c r="G164" s="77"/>
      <c r="H164" s="78"/>
      <c r="I164" s="78"/>
      <c r="J164" s="78"/>
      <c r="K164" s="79"/>
    </row>
    <row r="165" spans="1:11" x14ac:dyDescent="0.25">
      <c r="A165" s="75"/>
      <c r="B165" s="76"/>
      <c r="C165" s="76"/>
      <c r="D165" s="76"/>
      <c r="E165" s="77"/>
      <c r="F165" s="77"/>
      <c r="G165" s="77"/>
      <c r="H165" s="78"/>
      <c r="I165" s="78"/>
      <c r="J165" s="78"/>
      <c r="K165" s="79"/>
    </row>
    <row r="166" spans="1:11" x14ac:dyDescent="0.25">
      <c r="A166" s="75"/>
      <c r="B166" s="76"/>
      <c r="C166" s="76"/>
      <c r="D166" s="76"/>
      <c r="E166" s="77"/>
      <c r="F166" s="77"/>
      <c r="G166" s="77"/>
      <c r="H166" s="78"/>
      <c r="I166" s="78"/>
      <c r="J166" s="78"/>
      <c r="K166" s="79"/>
    </row>
    <row r="167" spans="1:11" x14ac:dyDescent="0.25">
      <c r="A167" s="75"/>
      <c r="B167" s="76"/>
      <c r="C167" s="76"/>
      <c r="D167" s="76"/>
      <c r="E167" s="77"/>
      <c r="F167" s="77"/>
      <c r="G167" s="77"/>
      <c r="H167" s="79"/>
      <c r="I167" s="78"/>
      <c r="J167" s="78"/>
      <c r="K167" s="79"/>
    </row>
    <row r="168" spans="1:11" x14ac:dyDescent="0.25">
      <c r="A168" s="75"/>
      <c r="B168" s="76"/>
      <c r="C168" s="76"/>
      <c r="D168" s="76"/>
      <c r="E168" s="77"/>
      <c r="F168" s="77"/>
      <c r="G168" s="77"/>
      <c r="H168" s="78"/>
      <c r="I168" s="78"/>
      <c r="J168" s="78"/>
      <c r="K168" s="79"/>
    </row>
    <row r="169" spans="1:11" x14ac:dyDescent="0.25">
      <c r="A169" s="75"/>
      <c r="B169" s="76"/>
      <c r="C169" s="76"/>
      <c r="D169" s="76"/>
      <c r="E169" s="77"/>
      <c r="F169" s="77"/>
      <c r="G169" s="77"/>
      <c r="H169" s="78"/>
      <c r="I169" s="79"/>
      <c r="J169" s="78"/>
      <c r="K169" s="79"/>
    </row>
    <row r="170" spans="1:11" x14ac:dyDescent="0.25">
      <c r="A170" s="75"/>
      <c r="B170" s="76"/>
      <c r="C170" s="76"/>
      <c r="D170" s="76"/>
      <c r="E170" s="77"/>
      <c r="F170" s="77"/>
      <c r="G170" s="77"/>
      <c r="H170" s="79"/>
      <c r="I170" s="79"/>
      <c r="J170" s="79"/>
      <c r="K170" s="79"/>
    </row>
    <row r="171" spans="1:11" x14ac:dyDescent="0.25">
      <c r="A171" s="75"/>
      <c r="B171" s="76"/>
      <c r="C171" s="76"/>
      <c r="D171" s="76"/>
      <c r="E171" s="77"/>
      <c r="F171" s="77"/>
      <c r="G171" s="77"/>
      <c r="H171" s="78"/>
      <c r="I171" s="78"/>
      <c r="K171" s="79"/>
    </row>
    <row r="172" spans="1:11" x14ac:dyDescent="0.25">
      <c r="A172" s="75"/>
      <c r="B172" s="76"/>
      <c r="C172" s="76"/>
      <c r="D172" s="76"/>
      <c r="E172" s="77"/>
      <c r="F172" s="77"/>
      <c r="G172" s="77"/>
      <c r="H172" s="79"/>
      <c r="I172" s="78"/>
      <c r="J172" s="78"/>
      <c r="K172" s="78"/>
    </row>
    <row r="173" spans="1:11" x14ac:dyDescent="0.25">
      <c r="A173" s="75"/>
      <c r="B173" s="76"/>
      <c r="C173" s="76"/>
      <c r="D173" s="76"/>
      <c r="E173" s="77"/>
      <c r="F173" s="77"/>
      <c r="G173" s="77"/>
      <c r="H173" s="78"/>
      <c r="I173" s="79"/>
      <c r="J173" s="78"/>
      <c r="K173" s="78"/>
    </row>
    <row r="174" spans="1:11" x14ac:dyDescent="0.25">
      <c r="A174" s="75"/>
      <c r="B174" s="76"/>
      <c r="C174" s="76"/>
      <c r="D174" s="76"/>
      <c r="E174" s="77"/>
      <c r="F174" s="77"/>
      <c r="G174" s="77"/>
      <c r="H174" s="78"/>
      <c r="I174" s="79"/>
      <c r="J174" s="78"/>
      <c r="K174" s="78"/>
    </row>
    <row r="175" spans="1:11" x14ac:dyDescent="0.25">
      <c r="A175" s="75"/>
      <c r="B175" s="76"/>
      <c r="C175" s="76"/>
      <c r="D175" s="76"/>
      <c r="E175" s="77"/>
      <c r="F175" s="77"/>
      <c r="G175" s="77"/>
      <c r="H175" s="78"/>
      <c r="I175" s="78"/>
      <c r="J175" s="78"/>
      <c r="K175" s="79"/>
    </row>
    <row r="176" spans="1:11" x14ac:dyDescent="0.25">
      <c r="A176" s="75"/>
      <c r="B176" s="76"/>
      <c r="C176" s="76"/>
      <c r="D176" s="76"/>
      <c r="E176" s="77"/>
      <c r="F176" s="77"/>
      <c r="G176" s="77"/>
      <c r="H176" s="78"/>
      <c r="I176" s="79"/>
      <c r="J176" s="78"/>
      <c r="K176" s="78"/>
    </row>
    <row r="177" spans="1:11" x14ac:dyDescent="0.25">
      <c r="A177" s="75"/>
      <c r="B177" s="76"/>
      <c r="C177" s="76"/>
      <c r="D177" s="76"/>
      <c r="E177" s="77"/>
      <c r="F177" s="77"/>
      <c r="G177" s="77"/>
      <c r="H177" s="78"/>
      <c r="I177" s="78"/>
      <c r="J177" s="78"/>
      <c r="K177" s="79"/>
    </row>
    <row r="178" spans="1:11" x14ac:dyDescent="0.25">
      <c r="A178" s="75"/>
      <c r="B178" s="76"/>
      <c r="C178" s="76"/>
      <c r="D178" s="76"/>
      <c r="E178" s="77"/>
      <c r="F178" s="77"/>
      <c r="G178" s="77"/>
      <c r="H178" s="78"/>
      <c r="I178" s="78"/>
      <c r="J178" s="78"/>
      <c r="K178" s="79"/>
    </row>
    <row r="179" spans="1:11" x14ac:dyDescent="0.25">
      <c r="A179" s="75"/>
      <c r="B179" s="76"/>
      <c r="C179" s="76"/>
      <c r="D179" s="76"/>
      <c r="E179" s="77"/>
      <c r="F179" s="77"/>
      <c r="G179" s="77"/>
      <c r="H179" s="78"/>
      <c r="I179" s="78"/>
      <c r="J179" s="78"/>
      <c r="K179" s="79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14.42578125"/>
  <cols>
    <col min="1" max="1" width="11.85546875" customWidth="1"/>
    <col min="2" max="2" width="18" customWidth="1"/>
    <col min="3" max="3" width="19.140625" customWidth="1"/>
    <col min="4" max="4" width="32.28515625" customWidth="1"/>
    <col min="5" max="5" width="21.7109375" customWidth="1"/>
    <col min="6" max="6" width="29.28515625" customWidth="1"/>
    <col min="7" max="7" width="24.5703125" customWidth="1"/>
    <col min="8" max="8" width="32.7109375" style="82" customWidth="1"/>
    <col min="9" max="9" width="14.42578125" style="82" customWidth="1"/>
    <col min="10" max="10" width="17" style="82" customWidth="1"/>
    <col min="11" max="11" width="6.7109375" style="82" customWidth="1"/>
    <col min="12" max="12" width="14.42578125" style="82" customWidth="1"/>
    <col min="13" max="13" width="15.42578125" style="82" customWidth="1"/>
    <col min="14" max="14" width="14.42578125" style="82" customWidth="1"/>
    <col min="15" max="16" width="8.140625" style="82" customWidth="1"/>
    <col min="17" max="17" width="8.42578125" style="82" customWidth="1"/>
    <col min="18" max="16384" width="14.42578125" style="82" customWidth="1"/>
  </cols>
  <sheetData>
    <row r="1" ht="30" customHeight="1" spans="1:8" s="83" customFormat="1" x14ac:dyDescent="0.25">
      <c r="A1" s="84" t="s">
        <v>123</v>
      </c>
      <c r="B1" s="84" t="s">
        <v>124</v>
      </c>
      <c r="C1" s="84" t="s">
        <v>125</v>
      </c>
      <c r="D1" s="84" t="s">
        <v>126</v>
      </c>
      <c r="E1" s="84" t="s">
        <v>127</v>
      </c>
      <c r="F1" s="84" t="s">
        <v>128</v>
      </c>
      <c r="G1" s="84" t="s">
        <v>129</v>
      </c>
      <c r="H1" s="85"/>
    </row>
    <row r="2" ht="18" customHeight="1" spans="1:12" s="86" customFormat="1" x14ac:dyDescent="0.25">
      <c r="A2" s="53"/>
      <c r="B2" s="53"/>
      <c r="C2" s="53"/>
      <c r="D2" s="53"/>
      <c r="E2" s="53"/>
      <c r="F2" s="53"/>
      <c r="G2" s="53"/>
      <c r="H2" s="87"/>
      <c r="L2" s="88" t="s">
        <v>130</v>
      </c>
    </row>
    <row r="3" ht="18" customHeight="1" spans="1:12" x14ac:dyDescent="0.25">
      <c r="A3" s="53"/>
      <c r="B3" s="53"/>
      <c r="C3" s="53"/>
      <c r="D3" s="53"/>
      <c r="E3" s="53"/>
      <c r="F3" s="53"/>
      <c r="G3" s="53"/>
      <c r="H3" s="89"/>
      <c r="L3" s="90">
        <f>SUM(F2:F50)</f>
        <v>0</v>
      </c>
    </row>
    <row r="4" spans="1:8" x14ac:dyDescent="0.25">
      <c r="A4" s="91"/>
      <c r="B4" s="92"/>
      <c r="C4" s="92"/>
      <c r="D4" s="92"/>
      <c r="E4" s="92"/>
      <c r="F4" s="92"/>
      <c r="G4" s="92"/>
      <c r="H4" s="89"/>
    </row>
    <row r="5" spans="1:8" x14ac:dyDescent="0.25">
      <c r="A5" s="91"/>
      <c r="B5" s="92"/>
      <c r="C5" s="92"/>
      <c r="D5" s="92"/>
      <c r="E5" s="92"/>
      <c r="F5" s="92"/>
      <c r="G5" s="92"/>
      <c r="H5" s="89"/>
    </row>
    <row r="6" spans="1:8" x14ac:dyDescent="0.25">
      <c r="A6" s="91"/>
      <c r="B6" s="92"/>
      <c r="C6" s="92"/>
      <c r="D6" s="92"/>
      <c r="E6" s="93"/>
      <c r="F6" s="93"/>
      <c r="G6" s="93"/>
      <c r="H6" s="89"/>
    </row>
    <row r="7" spans="1:8" x14ac:dyDescent="0.25">
      <c r="A7" s="91"/>
      <c r="B7" s="92"/>
      <c r="C7" s="92"/>
      <c r="D7" s="92"/>
      <c r="E7" s="92"/>
      <c r="F7" s="92"/>
      <c r="G7" s="92"/>
      <c r="H7" s="89"/>
    </row>
    <row r="8" spans="1:8" x14ac:dyDescent="0.25">
      <c r="A8" s="91"/>
      <c r="B8" s="92"/>
      <c r="C8" s="92"/>
      <c r="D8" s="92"/>
      <c r="E8" s="92"/>
      <c r="F8" s="92"/>
      <c r="G8" s="92"/>
      <c r="H8" s="89"/>
    </row>
    <row r="9" spans="1:8" x14ac:dyDescent="0.25">
      <c r="A9" s="91"/>
      <c r="B9" s="92"/>
      <c r="C9" s="92"/>
      <c r="D9" s="92"/>
      <c r="E9" s="93"/>
      <c r="F9" s="93"/>
      <c r="G9" s="93"/>
      <c r="H9" s="89"/>
    </row>
    <row r="10" spans="1:8" x14ac:dyDescent="0.25">
      <c r="A10" s="91"/>
      <c r="B10" s="92"/>
      <c r="C10" s="92"/>
      <c r="D10" s="92"/>
      <c r="E10" s="93"/>
      <c r="F10" s="93"/>
      <c r="G10" s="93"/>
      <c r="H10" s="89"/>
    </row>
    <row r="11" spans="1:8" x14ac:dyDescent="0.25">
      <c r="A11" s="91"/>
      <c r="B11" s="92"/>
      <c r="C11" s="92"/>
      <c r="D11" s="92"/>
      <c r="E11" s="93"/>
      <c r="F11" s="93"/>
      <c r="G11" s="93"/>
      <c r="H11" s="89"/>
    </row>
    <row r="12" spans="1:8" x14ac:dyDescent="0.25">
      <c r="A12" s="91"/>
      <c r="B12" s="92"/>
      <c r="C12" s="92"/>
      <c r="D12" s="92"/>
      <c r="E12" s="92"/>
      <c r="F12" s="92"/>
      <c r="G12" s="92"/>
      <c r="H12" s="89"/>
    </row>
    <row r="13" spans="1:8" x14ac:dyDescent="0.25">
      <c r="A13" s="91"/>
      <c r="B13" s="92"/>
      <c r="C13" s="92"/>
      <c r="D13" s="92"/>
      <c r="E13" s="92"/>
      <c r="F13" s="92"/>
      <c r="G13" s="92"/>
      <c r="H13" s="89"/>
    </row>
    <row r="14" spans="1:8" x14ac:dyDescent="0.25">
      <c r="A14" s="91"/>
      <c r="B14" s="92"/>
      <c r="C14" s="92"/>
      <c r="D14" s="92"/>
      <c r="E14" s="92"/>
      <c r="F14" s="92"/>
      <c r="G14" s="92"/>
      <c r="H14" s="89"/>
    </row>
    <row r="15" spans="1:8" x14ac:dyDescent="0.25">
      <c r="A15" s="91"/>
      <c r="B15" s="92"/>
      <c r="C15" s="92"/>
      <c r="D15" s="92"/>
      <c r="E15" s="92"/>
      <c r="F15" s="92"/>
      <c r="G15" s="92"/>
      <c r="H15" s="89"/>
    </row>
    <row r="16" spans="1:8" x14ac:dyDescent="0.25">
      <c r="A16" s="91"/>
      <c r="B16" s="92"/>
      <c r="C16" s="92"/>
      <c r="D16" s="92"/>
      <c r="E16" s="92"/>
      <c r="F16" s="92"/>
      <c r="G16" s="92"/>
      <c r="H16" s="89"/>
    </row>
    <row r="17" spans="1:8" x14ac:dyDescent="0.25">
      <c r="A17" s="91"/>
      <c r="B17" s="92"/>
      <c r="C17" s="92"/>
      <c r="D17" s="92"/>
      <c r="E17" s="94"/>
      <c r="F17" s="94"/>
      <c r="G17" s="94"/>
      <c r="H17" s="89"/>
    </row>
    <row r="18" spans="1:8" x14ac:dyDescent="0.25">
      <c r="A18" s="91"/>
      <c r="B18" s="92"/>
      <c r="C18" s="92"/>
      <c r="D18" s="92"/>
      <c r="E18" s="93"/>
      <c r="F18" s="93"/>
      <c r="G18" s="93"/>
      <c r="H18" s="89"/>
    </row>
    <row r="19" spans="1:8" x14ac:dyDescent="0.25">
      <c r="A19" s="91"/>
      <c r="B19" s="92"/>
      <c r="C19" s="92"/>
      <c r="D19" s="92"/>
      <c r="E19" s="93"/>
      <c r="F19" s="93"/>
      <c r="G19" s="93"/>
      <c r="H19" s="89"/>
    </row>
    <row r="20" spans="1:8" x14ac:dyDescent="0.25">
      <c r="A20" s="91"/>
      <c r="B20" s="92"/>
      <c r="C20" s="92"/>
      <c r="D20" s="92"/>
      <c r="E20" s="93"/>
      <c r="F20" s="93"/>
      <c r="G20" s="93"/>
      <c r="H20" s="89"/>
    </row>
    <row r="21" spans="1:8" x14ac:dyDescent="0.25">
      <c r="A21" s="91"/>
      <c r="B21" s="92"/>
      <c r="C21" s="92"/>
      <c r="D21" s="92"/>
      <c r="E21" s="93"/>
      <c r="F21" s="93"/>
      <c r="G21" s="93"/>
      <c r="H21" s="89"/>
    </row>
    <row r="22" spans="1:8" x14ac:dyDescent="0.25">
      <c r="A22" s="91"/>
      <c r="B22" s="92"/>
      <c r="C22" s="92"/>
      <c r="D22" s="92"/>
      <c r="E22" s="92"/>
      <c r="F22" s="92"/>
      <c r="G22" s="92"/>
      <c r="H22" s="89"/>
    </row>
    <row r="23" spans="1:8" x14ac:dyDescent="0.25">
      <c r="A23" s="91"/>
      <c r="B23" s="92"/>
      <c r="C23" s="92"/>
      <c r="D23" s="92"/>
      <c r="E23" s="92"/>
      <c r="F23" s="92"/>
      <c r="G23" s="92"/>
      <c r="H23" s="89"/>
    </row>
    <row r="24" spans="1:8" x14ac:dyDescent="0.25">
      <c r="A24" s="91"/>
      <c r="B24" s="92"/>
      <c r="C24" s="92"/>
      <c r="D24" s="92"/>
      <c r="E24" s="92"/>
      <c r="F24" s="92"/>
      <c r="G24" s="92"/>
      <c r="H24" s="89"/>
    </row>
    <row r="25" spans="1:8" s="86" customFormat="1" x14ac:dyDescent="0.25">
      <c r="A25" s="91"/>
      <c r="B25" s="92"/>
      <c r="C25" s="92"/>
      <c r="D25" s="92"/>
      <c r="E25" s="93"/>
      <c r="F25" s="93"/>
      <c r="G25" s="93"/>
      <c r="H25" s="87"/>
    </row>
    <row r="26" spans="1:8" x14ac:dyDescent="0.25">
      <c r="A26" s="91"/>
      <c r="B26" s="92"/>
      <c r="C26" s="92"/>
      <c r="D26" s="92"/>
      <c r="E26" s="93"/>
      <c r="F26" s="93"/>
      <c r="G26" s="93"/>
      <c r="H26" s="89"/>
    </row>
    <row r="27" spans="1:8" x14ac:dyDescent="0.25">
      <c r="A27" s="91"/>
      <c r="B27" s="92"/>
      <c r="C27" s="92"/>
      <c r="D27" s="92"/>
      <c r="E27" s="92"/>
      <c r="F27" s="92"/>
      <c r="G27" s="92"/>
      <c r="H27" s="89"/>
    </row>
    <row r="28" spans="1:8" x14ac:dyDescent="0.25">
      <c r="A28" s="53"/>
      <c r="B28" s="53"/>
      <c r="C28" s="95"/>
      <c r="D28" s="95"/>
      <c r="E28" s="95"/>
      <c r="F28" s="53"/>
      <c r="G28" s="53"/>
      <c r="H28" s="89"/>
    </row>
    <row r="29" spans="1:8" x14ac:dyDescent="0.25">
      <c r="A29" s="91"/>
      <c r="B29" s="92"/>
      <c r="C29" s="96"/>
      <c r="D29" s="96"/>
      <c r="E29" s="97"/>
      <c r="F29" s="93"/>
      <c r="G29" s="93"/>
      <c r="H29" s="89"/>
    </row>
    <row r="30" spans="1:8" x14ac:dyDescent="0.25">
      <c r="A30" s="91"/>
      <c r="B30" s="92"/>
      <c r="C30" s="96"/>
      <c r="D30" s="96"/>
      <c r="E30" s="97"/>
      <c r="F30" s="93"/>
      <c r="G30" s="93"/>
      <c r="H30" s="89"/>
    </row>
    <row r="31" spans="1:8" x14ac:dyDescent="0.25">
      <c r="A31" s="91"/>
      <c r="B31" s="92"/>
      <c r="C31" s="96"/>
      <c r="D31" s="96"/>
      <c r="E31" s="97"/>
      <c r="F31" s="93"/>
      <c r="G31" s="93"/>
      <c r="H31" s="89"/>
    </row>
    <row r="32" spans="1:8" x14ac:dyDescent="0.25">
      <c r="A32" s="91"/>
      <c r="B32" s="92"/>
      <c r="C32" s="96"/>
      <c r="D32" s="96"/>
      <c r="E32" s="97"/>
      <c r="F32" s="93"/>
      <c r="G32" s="93"/>
      <c r="H32" s="89"/>
    </row>
    <row r="33" spans="1:8" x14ac:dyDescent="0.25">
      <c r="A33" s="91"/>
      <c r="B33" s="92"/>
      <c r="C33" s="92"/>
      <c r="D33" s="92"/>
      <c r="E33" s="92"/>
      <c r="F33" s="92"/>
      <c r="G33" s="92"/>
      <c r="H33" s="89"/>
    </row>
    <row r="34" spans="1:8" s="86" customFormat="1" x14ac:dyDescent="0.25">
      <c r="A34" s="91"/>
      <c r="B34" s="92"/>
      <c r="C34" s="92"/>
      <c r="D34" s="92"/>
      <c r="E34" s="92"/>
      <c r="F34" s="92"/>
      <c r="G34" s="92"/>
      <c r="H34" s="87"/>
    </row>
    <row r="35" spans="1:8" x14ac:dyDescent="0.25">
      <c r="A35" s="91"/>
      <c r="B35" s="92"/>
      <c r="C35" s="92"/>
      <c r="D35" s="92"/>
      <c r="E35" s="92"/>
      <c r="F35" s="92"/>
      <c r="G35" s="92"/>
      <c r="H35" s="89"/>
    </row>
    <row r="36" spans="1:8" x14ac:dyDescent="0.25">
      <c r="A36" s="91"/>
      <c r="B36" s="92"/>
      <c r="C36" s="92"/>
      <c r="D36" s="92"/>
      <c r="E36" s="92"/>
      <c r="F36" s="92"/>
      <c r="G36" s="92"/>
      <c r="H36" s="89"/>
    </row>
    <row r="37" spans="1:8" s="86" customFormat="1" x14ac:dyDescent="0.25">
      <c r="A37" s="91"/>
      <c r="B37" s="92"/>
      <c r="C37" s="92"/>
      <c r="D37" s="92"/>
      <c r="E37" s="92"/>
      <c r="F37" s="92"/>
      <c r="G37" s="92"/>
      <c r="H37" s="87"/>
    </row>
    <row r="38" spans="1:8" x14ac:dyDescent="0.25">
      <c r="A38" s="91"/>
      <c r="B38" s="92"/>
      <c r="C38" s="92"/>
      <c r="D38" s="92"/>
      <c r="E38" s="93"/>
      <c r="F38" s="93"/>
      <c r="G38" s="93"/>
      <c r="H38" s="54"/>
    </row>
    <row r="39" spans="1:8" x14ac:dyDescent="0.25">
      <c r="A39" s="91"/>
      <c r="B39" s="92"/>
      <c r="C39" s="92"/>
      <c r="D39" s="92"/>
      <c r="E39" s="93"/>
      <c r="F39" s="93"/>
      <c r="G39" s="93"/>
      <c r="H39" s="89"/>
    </row>
    <row r="40" spans="1:8" x14ac:dyDescent="0.25">
      <c r="A40" s="91"/>
      <c r="B40" s="92"/>
      <c r="C40" s="92"/>
      <c r="D40" s="92"/>
      <c r="E40" s="92"/>
      <c r="F40" s="92"/>
      <c r="G40" s="92"/>
      <c r="H40" s="89"/>
    </row>
    <row r="41" spans="1:8" x14ac:dyDescent="0.25">
      <c r="A41" s="91"/>
      <c r="B41" s="92"/>
      <c r="C41" s="92"/>
      <c r="D41" s="92"/>
      <c r="E41" s="92"/>
      <c r="F41" s="92"/>
      <c r="G41" s="92"/>
      <c r="H41" s="89"/>
    </row>
    <row r="42" spans="1:7" x14ac:dyDescent="0.25">
      <c r="A42" s="91"/>
      <c r="B42" s="92"/>
      <c r="C42" s="92"/>
      <c r="D42" s="92"/>
      <c r="E42" s="92"/>
      <c r="F42" s="92"/>
      <c r="G42" s="92"/>
    </row>
  </sheetData>
  <autoFilter ref="A1:S40"/>
  <conditionalFormatting sqref="D2"/>
  <conditionalFormatting sqref="D6"/>
  <conditionalFormatting sqref="D7"/>
  <conditionalFormatting sqref="D15"/>
  <conditionalFormatting sqref="D16"/>
  <conditionalFormatting sqref="D26"/>
  <conditionalFormatting sqref="D27"/>
  <conditionalFormatting sqref="D35"/>
  <conditionalFormatting sqref="D36"/>
  <conditionalFormatting sqref="D39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 zoomScale="100" zoomScaleNormal="100">
      <selection activeCell="A18" sqref="A18"/>
    </sheetView>
  </sheetViews>
  <sheetFormatPr defaultRowHeight="15" outlineLevelRow="0" outlineLevelCol="0" x14ac:dyDescent="0.25" defaultColWidth="8.85546875"/>
  <cols>
    <col min="1" max="1" width="27.42578125" style="82" customWidth="1"/>
    <col min="2" max="2" width="50.5703125" style="82" customWidth="1"/>
    <col min="3" max="4" width="8.85546875" style="82" customWidth="1"/>
    <col min="5" max="5" width="81.28515625" style="82" customWidth="1"/>
    <col min="6" max="8" width="8.85546875" style="82" customWidth="1"/>
    <col min="9" max="9" width="16.28515625" style="82" customWidth="1"/>
    <col min="10" max="10" width="27" style="82" customWidth="1"/>
    <col min="11" max="12" width="8.85546875" style="82" customWidth="1"/>
    <col min="13" max="13" width="30.5703125" style="82" customWidth="1"/>
    <col min="14" max="16384" width="8.85546875" style="82" customWidth="1"/>
  </cols>
  <sheetData>
    <row r="1" spans="1:14" s="98" customFormat="1" x14ac:dyDescent="0.25">
      <c r="A1" s="99" t="s">
        <v>72</v>
      </c>
      <c r="B1" s="99"/>
      <c r="C1" s="100"/>
      <c r="D1" s="82"/>
      <c r="E1" s="82" t="s">
        <v>131</v>
      </c>
      <c r="F1" s="82"/>
      <c r="G1" s="82"/>
      <c r="H1" s="82"/>
      <c r="I1" s="82" t="s">
        <v>52</v>
      </c>
      <c r="J1" s="82"/>
      <c r="K1" s="82"/>
      <c r="M1" s="101" t="s">
        <v>132</v>
      </c>
      <c r="N1" s="101"/>
    </row>
    <row r="2" spans="1:14" s="98" customFormat="1" x14ac:dyDescent="0.25">
      <c r="A2" s="102"/>
      <c r="B2" s="103"/>
      <c r="C2" s="104"/>
      <c r="D2" s="82"/>
      <c r="E2" s="103"/>
      <c r="F2" s="103"/>
      <c r="G2" s="103"/>
      <c r="H2" s="82"/>
      <c r="I2" s="105"/>
      <c r="J2" s="106"/>
      <c r="K2" s="104"/>
      <c r="M2" s="107"/>
      <c r="N2" s="108"/>
    </row>
    <row r="3" spans="1:14" s="98" customFormat="1" x14ac:dyDescent="0.25">
      <c r="A3" s="102"/>
      <c r="B3" s="103"/>
      <c r="C3" s="104"/>
      <c r="D3" s="82"/>
      <c r="E3" s="103"/>
      <c r="F3" s="103"/>
      <c r="G3" s="103"/>
      <c r="H3" s="82"/>
      <c r="I3" s="105"/>
      <c r="J3" s="109"/>
      <c r="K3" s="104"/>
      <c r="M3" s="107"/>
      <c r="N3" s="108"/>
    </row>
    <row r="4" spans="1:14" s="98" customFormat="1" x14ac:dyDescent="0.25">
      <c r="A4" s="102"/>
      <c r="B4" s="103"/>
      <c r="C4" s="104"/>
      <c r="D4" s="82"/>
      <c r="E4" s="103"/>
      <c r="F4" s="103"/>
      <c r="G4" s="103"/>
      <c r="H4" s="82"/>
      <c r="I4" s="105"/>
      <c r="J4" s="103"/>
      <c r="K4" s="104"/>
      <c r="M4" s="107"/>
      <c r="N4" s="108"/>
    </row>
    <row r="5" spans="1:14" s="98" customFormat="1" x14ac:dyDescent="0.25">
      <c r="A5" s="102"/>
      <c r="B5" s="103"/>
      <c r="C5" s="104"/>
      <c r="D5" s="82"/>
      <c r="E5" s="103"/>
      <c r="F5" s="103"/>
      <c r="G5" s="103"/>
      <c r="H5" s="82"/>
      <c r="I5" s="105"/>
      <c r="J5" s="103"/>
      <c r="K5" s="104"/>
      <c r="M5" s="107"/>
      <c r="N5" s="108"/>
    </row>
    <row r="6" spans="1:11" s="98" customFormat="1" x14ac:dyDescent="0.25">
      <c r="A6" s="102"/>
      <c r="B6" s="103"/>
      <c r="C6" s="104"/>
      <c r="D6" s="82"/>
      <c r="E6" s="103"/>
      <c r="F6" s="103"/>
      <c r="G6" s="103"/>
      <c r="H6" s="82"/>
      <c r="I6" s="82"/>
      <c r="J6" s="82"/>
      <c r="K6" s="82"/>
    </row>
    <row r="7" spans="1:11" s="98" customFormat="1" x14ac:dyDescent="0.25">
      <c r="A7" s="102"/>
      <c r="B7" s="103"/>
      <c r="C7" s="104"/>
      <c r="D7" s="82"/>
      <c r="E7" s="103"/>
      <c r="F7" s="103"/>
      <c r="G7" s="103"/>
      <c r="H7" s="82"/>
      <c r="I7" s="82"/>
      <c r="J7" s="82"/>
      <c r="K7" s="82"/>
    </row>
    <row r="8" spans="1:11" s="98" customFormat="1" x14ac:dyDescent="0.25">
      <c r="A8" s="103"/>
      <c r="B8" s="103"/>
      <c r="C8" s="104"/>
      <c r="D8" s="82"/>
      <c r="E8" s="82"/>
      <c r="F8" s="82"/>
      <c r="G8" s="82"/>
      <c r="H8" s="82"/>
      <c r="I8" s="82"/>
      <c r="J8" s="82"/>
      <c r="K8" s="82"/>
    </row>
    <row r="9" spans="1:11" s="98" customFormat="1" x14ac:dyDescent="0.25">
      <c r="A9" s="103"/>
      <c r="B9" s="103"/>
      <c r="C9" s="104"/>
      <c r="D9" s="82"/>
      <c r="E9" s="82"/>
      <c r="F9" s="82"/>
      <c r="G9" s="82"/>
      <c r="H9" s="82"/>
      <c r="I9" s="82"/>
      <c r="J9" s="82"/>
      <c r="K9" s="82"/>
    </row>
    <row r="10" spans="1:11" s="98" customFormat="1" x14ac:dyDescent="0.25">
      <c r="A10" s="103"/>
      <c r="B10" s="103"/>
      <c r="C10" s="104"/>
      <c r="D10" s="82"/>
      <c r="E10" s="82"/>
      <c r="F10" s="82"/>
      <c r="G10" s="82"/>
      <c r="H10" s="82"/>
      <c r="I10" s="82"/>
      <c r="J10" s="82"/>
      <c r="K10" s="82"/>
    </row>
    <row r="11" spans="1:11" s="98" customFormat="1" x14ac:dyDescent="0.25">
      <c r="A11" s="103"/>
      <c r="B11" s="103"/>
      <c r="C11" s="104"/>
      <c r="D11" s="82"/>
      <c r="E11" s="82"/>
      <c r="F11" s="82"/>
      <c r="G11" s="82"/>
      <c r="H11" s="82"/>
      <c r="I11" s="82"/>
      <c r="J11" s="82"/>
      <c r="K11" s="82"/>
    </row>
    <row r="12" spans="1:11" s="98" customFormat="1" x14ac:dyDescent="0.25">
      <c r="A12" s="103"/>
      <c r="B12" s="103"/>
      <c r="C12" s="104"/>
      <c r="D12" s="82"/>
      <c r="E12" s="82"/>
      <c r="F12" s="82"/>
      <c r="G12" s="82"/>
      <c r="H12" s="82"/>
      <c r="I12" s="82"/>
      <c r="J12" s="82"/>
      <c r="K12" s="82"/>
    </row>
    <row r="13" spans="1:11" s="98" customFormat="1" x14ac:dyDescent="0.25">
      <c r="A13" s="103"/>
      <c r="B13" s="103"/>
      <c r="C13" s="103"/>
      <c r="D13" s="82"/>
      <c r="E13" s="82"/>
      <c r="F13" s="82"/>
      <c r="G13" s="82"/>
      <c r="H13" s="82"/>
      <c r="I13" s="82"/>
      <c r="J13" s="82"/>
      <c r="K13" s="82"/>
    </row>
    <row r="14" spans="1:14" s="98" customFormat="1" x14ac:dyDescent="0.25">
      <c r="A14" s="82"/>
      <c r="C14" s="104">
        <f>SUM(C2:C13)</f>
        <v>0</v>
      </c>
      <c r="D14" s="82"/>
      <c r="E14" s="82"/>
      <c r="F14" s="104">
        <f>SUM(F2:F13)</f>
        <v>0</v>
      </c>
      <c r="G14" s="82"/>
      <c r="H14" s="82"/>
      <c r="I14" s="104">
        <f>SUM(I2:I13)</f>
        <v>0</v>
      </c>
      <c r="K14" s="82"/>
      <c r="N14" s="104">
        <f>SUM(N2:N13)</f>
        <v>0</v>
      </c>
    </row>
    <row r="15" spans="1:11" s="98" customFormat="1" x14ac:dyDescent="0.25">
      <c r="A15" s="82"/>
      <c r="D15" s="82"/>
      <c r="E15" s="82"/>
      <c r="F15" s="82"/>
      <c r="G15" s="82"/>
      <c r="H15" s="82"/>
      <c r="I15" s="82"/>
      <c r="K15" s="82"/>
    </row>
    <row r="16" spans="1:11" s="98" customFormat="1" x14ac:dyDescent="0.25">
      <c r="A16" s="82"/>
      <c r="D16" s="82"/>
      <c r="E16" s="82"/>
      <c r="F16" s="82"/>
      <c r="G16" s="82"/>
      <c r="H16" s="82"/>
      <c r="I16" s="82"/>
      <c r="K16" s="82"/>
    </row>
    <row r="17" spans="1:11" s="98" customFormat="1" x14ac:dyDescent="0.25">
      <c r="A17" s="98" t="s">
        <v>73</v>
      </c>
      <c r="D17" s="82"/>
      <c r="E17" s="82"/>
      <c r="F17" s="82"/>
      <c r="G17" s="82"/>
      <c r="H17" s="82"/>
      <c r="I17" s="82"/>
      <c r="J17" s="82"/>
      <c r="K17" s="82"/>
    </row>
    <row r="18" spans="1:11" s="98" customFormat="1" x14ac:dyDescent="0.25">
      <c r="A18" s="102"/>
      <c r="B18" s="103"/>
      <c r="C18" s="104"/>
      <c r="D18" s="82"/>
      <c r="E18" s="110"/>
      <c r="F18" s="110"/>
      <c r="G18" s="110"/>
      <c r="H18" s="110"/>
      <c r="I18" s="82"/>
      <c r="J18" s="82"/>
      <c r="K18" s="82"/>
    </row>
    <row r="19" spans="1:3" s="98" customFormat="1" x14ac:dyDescent="0.25">
      <c r="A19" s="102"/>
      <c r="B19" s="103"/>
      <c r="C19" s="104"/>
    </row>
    <row r="20" spans="3:3" s="98" customFormat="1" x14ac:dyDescent="0.25">
      <c r="C20" s="104">
        <f>SUM(C18:C19)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133</v>
      </c>
      <c r="B1" t="s">
        <v>134</v>
      </c>
      <c r="C1" t="s">
        <v>135</v>
      </c>
      <c r="D1" t="s">
        <v>136</v>
      </c>
      <c r="E1" t="s">
        <v>107</v>
      </c>
      <c r="F1" t="s">
        <v>137</v>
      </c>
      <c r="G1" t="s">
        <v>138</v>
      </c>
    </row>
    <row r="2" spans="1:7" x14ac:dyDescent="0.25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</row>
    <row r="3" spans="1:7" x14ac:dyDescent="0.25">
      <c r="A3" t="s">
        <v>139</v>
      </c>
      <c r="B3" t="s">
        <v>140</v>
      </c>
      <c r="C3" t="s">
        <v>141</v>
      </c>
      <c r="D3" t="s">
        <v>142</v>
      </c>
      <c r="E3" t="s">
        <v>146</v>
      </c>
      <c r="F3" t="s">
        <v>144</v>
      </c>
      <c r="G3" t="s">
        <v>145</v>
      </c>
    </row>
    <row r="4" spans="1:7" x14ac:dyDescent="0.25">
      <c r="A4" t="s">
        <v>139</v>
      </c>
      <c r="B4" t="s">
        <v>140</v>
      </c>
      <c r="C4" t="s">
        <v>141</v>
      </c>
      <c r="D4" t="s">
        <v>142</v>
      </c>
      <c r="E4" t="s">
        <v>147</v>
      </c>
      <c r="F4" t="s">
        <v>144</v>
      </c>
      <c r="G4" t="s">
        <v>145</v>
      </c>
    </row>
    <row r="5" spans="1:7" x14ac:dyDescent="0.25">
      <c r="A5" t="s">
        <v>139</v>
      </c>
      <c r="B5" t="s">
        <v>140</v>
      </c>
      <c r="C5" t="s">
        <v>141</v>
      </c>
      <c r="D5" t="s">
        <v>142</v>
      </c>
      <c r="E5" t="s">
        <v>148</v>
      </c>
      <c r="F5" t="s">
        <v>144</v>
      </c>
      <c r="G5" t="s">
        <v>145</v>
      </c>
    </row>
    <row r="6" spans="1:7" x14ac:dyDescent="0.25">
      <c r="A6" t="s">
        <v>139</v>
      </c>
      <c r="B6" t="s">
        <v>140</v>
      </c>
      <c r="C6" t="s">
        <v>141</v>
      </c>
      <c r="D6" t="s">
        <v>142</v>
      </c>
      <c r="E6" t="s">
        <v>149</v>
      </c>
      <c r="F6" t="s">
        <v>144</v>
      </c>
      <c r="G6" t="s">
        <v>145</v>
      </c>
    </row>
    <row r="7" spans="1:7" x14ac:dyDescent="0.25">
      <c r="A7" t="s">
        <v>139</v>
      </c>
      <c r="B7" t="s">
        <v>140</v>
      </c>
      <c r="C7" t="s">
        <v>141</v>
      </c>
      <c r="D7" t="s">
        <v>142</v>
      </c>
      <c r="E7" t="s">
        <v>150</v>
      </c>
      <c r="F7" t="s">
        <v>144</v>
      </c>
      <c r="G7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151</v>
      </c>
      <c r="B1" t="s">
        <v>107</v>
      </c>
      <c r="C1" t="s">
        <v>152</v>
      </c>
      <c r="D1" t="s">
        <v>14</v>
      </c>
    </row>
    <row r="2" spans="1:4" x14ac:dyDescent="0.25">
      <c r="A2" t="s">
        <v>17</v>
      </c>
      <c r="B2" t="s">
        <v>153</v>
      </c>
      <c r="C2" t="s">
        <v>153</v>
      </c>
      <c r="D2" t="s">
        <v>153</v>
      </c>
    </row>
    <row r="3" spans="1:4" x14ac:dyDescent="0.25">
      <c r="A3" t="s">
        <v>153</v>
      </c>
      <c r="B3" t="s">
        <v>15</v>
      </c>
      <c r="C3">
        <v>6</v>
      </c>
      <c r="D3">
        <v>0</v>
      </c>
    </row>
    <row r="4" spans="1:4" x14ac:dyDescent="0.25">
      <c r="A4" t="s">
        <v>34</v>
      </c>
      <c r="B4" t="s">
        <v>153</v>
      </c>
      <c r="C4" t="s">
        <v>153</v>
      </c>
      <c r="D4" t="s">
        <v>153</v>
      </c>
    </row>
    <row r="5" spans="1:4" x14ac:dyDescent="0.25">
      <c r="A5" t="s">
        <v>153</v>
      </c>
      <c r="B5" t="s">
        <v>15</v>
      </c>
      <c r="C5">
        <v>12</v>
      </c>
      <c r="D5">
        <v>0</v>
      </c>
    </row>
    <row r="6" spans="1:4" x14ac:dyDescent="0.25">
      <c r="A6" t="s">
        <v>41</v>
      </c>
      <c r="B6" t="s">
        <v>153</v>
      </c>
      <c r="C6" t="s">
        <v>153</v>
      </c>
      <c r="D6" t="s">
        <v>153</v>
      </c>
    </row>
    <row r="7" spans="1:4" x14ac:dyDescent="0.25">
      <c r="A7" t="s">
        <v>153</v>
      </c>
      <c r="B7" t="s">
        <v>15</v>
      </c>
      <c r="C7">
        <v>74</v>
      </c>
      <c r="D7">
        <v>3389</v>
      </c>
    </row>
    <row r="8" spans="1:4" x14ac:dyDescent="0.25">
      <c r="A8" t="s">
        <v>46</v>
      </c>
      <c r="B8" t="s">
        <v>153</v>
      </c>
      <c r="C8" t="s">
        <v>153</v>
      </c>
      <c r="D8" t="s">
        <v>153</v>
      </c>
    </row>
    <row r="9" spans="1:4" x14ac:dyDescent="0.25">
      <c r="A9" t="s">
        <v>153</v>
      </c>
      <c r="B9" t="s">
        <v>15</v>
      </c>
      <c r="C9">
        <v>2</v>
      </c>
      <c r="D9">
        <v>0</v>
      </c>
    </row>
    <row r="10" spans="1:4" x14ac:dyDescent="0.25">
      <c r="A10" t="s">
        <v>70</v>
      </c>
      <c r="B10" t="s">
        <v>153</v>
      </c>
      <c r="C10" t="s">
        <v>153</v>
      </c>
      <c r="D10" t="s">
        <v>153</v>
      </c>
    </row>
    <row r="11" spans="1:4" x14ac:dyDescent="0.25">
      <c r="A11" t="s">
        <v>153</v>
      </c>
      <c r="B11" t="s">
        <v>15</v>
      </c>
      <c r="C11">
        <v>6</v>
      </c>
      <c r="D1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Rates</vt:lpstr>
      <vt:lpstr>Storage </vt:lpstr>
      <vt:lpstr>Scans Inbound </vt:lpstr>
      <vt:lpstr>Scans Outbound </vt:lpstr>
      <vt:lpstr>Distribution outbound </vt:lpstr>
      <vt:lpstr>VAS</vt:lpstr>
      <vt:lpstr>Management</vt:lpstr>
      <vt:lpstr>Analyze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Yossef</dc:creator>
  <cp:lastModifiedBy>Tomer Lev</cp:lastModifiedBy>
  <dcterms:created xsi:type="dcterms:W3CDTF">2022-10-18T12:46:56Z</dcterms:created>
  <dcterms:modified xsi:type="dcterms:W3CDTF">2026-04-13T16:56:53Z</dcterms:modified>
</cp:coreProperties>
</file>