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 activity" sheetId="1" r:id="rId1"/>
  </sheets>
  <definedNames>
    <definedName name="_xlnm.Print_Area" localSheetId="0">'WH activity'!#REF!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$-409]* #,##0.00_ ;_-[$$-409]* \-#,##0.00\ ;_-[$$-409]* &quot;-&quot;??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C1" t="str">
        <v>HONG KONG Warehouse Charges</v>
      </c>
    </row>
    <row r="2">
      <c r="D2" t="str">
        <v>February</v>
      </c>
      <c r="E2">
        <v>2026</v>
      </c>
      <c r="K2" t="str">
        <v>January</v>
      </c>
    </row>
    <row r="3">
      <c r="A3" t="str">
        <v>Segment</v>
      </c>
      <c r="B3" t="str">
        <v>Clause</v>
      </c>
      <c r="C3" t="str">
        <v>Category</v>
      </c>
      <c r="D3" t="str">
        <v xml:space="preserve">Description ESKO </v>
      </c>
      <c r="E3" t="str">
        <v>Unit of Measure</v>
      </c>
      <c r="F3" t="str">
        <v>Rate</v>
      </c>
      <c r="G3" t="str">
        <v>QTY</v>
      </c>
      <c r="H3" t="str">
        <v>Total</v>
      </c>
      <c r="K3" t="str">
        <v>February</v>
      </c>
    </row>
    <row r="4">
      <c r="A4" t="str">
        <v>Inbound</v>
      </c>
      <c r="B4" t="str">
        <v>Per Order</v>
      </c>
      <c r="C4" t="str">
        <v>General</v>
      </c>
      <c r="D4" t="str">
        <v>For replenishment orders</v>
      </c>
      <c r="E4" t="str">
        <v>order</v>
      </c>
      <c r="F4">
        <v>21.2</v>
      </c>
      <c r="G4">
        <v>5</v>
      </c>
      <c r="H4">
        <f>G4*F4</f>
        <v>106</v>
      </c>
      <c r="K4" t="str">
        <v>March</v>
      </c>
    </row>
    <row r="5">
      <c r="A5" t="str">
        <v>Inbound</v>
      </c>
      <c r="B5" t="str">
        <v>Per Unit Scan</v>
      </c>
      <c r="C5" t="str">
        <v>Per Item</v>
      </c>
      <c r="D5" t="str">
        <v>Serial or QTY  Scan</v>
      </c>
      <c r="E5" t="str">
        <v>each</v>
      </c>
      <c r="F5">
        <v>2.12</v>
      </c>
      <c r="G5">
        <v>188</v>
      </c>
      <c r="H5">
        <f>G5*F5</f>
        <v>398.56</v>
      </c>
      <c r="K5" t="str">
        <v>April</v>
      </c>
    </row>
    <row r="6">
      <c r="A6" t="str">
        <v>Inbound</v>
      </c>
      <c r="B6" t="str">
        <v>VAS</v>
      </c>
      <c r="C6" t="str">
        <v>Expedited Inbound</v>
      </c>
      <c r="D6" t="str">
        <v>Surcharge for expedited inbound orders</v>
      </c>
      <c r="E6" t="str">
        <v>surcharge per order</v>
      </c>
      <c r="F6">
        <v>20</v>
      </c>
      <c r="H6">
        <f>G6*F6</f>
        <v>0</v>
      </c>
      <c r="K6" t="str">
        <v>May</v>
      </c>
    </row>
    <row r="7">
      <c r="A7" t="str">
        <v>Outbound</v>
      </c>
      <c r="B7" t="str">
        <v>Per order</v>
      </c>
      <c r="C7" t="str">
        <v>Domestic</v>
      </c>
      <c r="D7" t="str">
        <v xml:space="preserve">For domestic orders </v>
      </c>
      <c r="E7" t="str">
        <v>order</v>
      </c>
      <c r="F7">
        <v>21.2</v>
      </c>
      <c r="G7">
        <v>8</v>
      </c>
      <c r="H7">
        <f>G7*F7</f>
        <v>169.6</v>
      </c>
      <c r="K7" t="str">
        <v>June</v>
      </c>
    </row>
    <row r="8">
      <c r="A8" t="str">
        <v>Outbound</v>
      </c>
      <c r="B8" t="str">
        <v>Per order</v>
      </c>
      <c r="C8" t="str">
        <v>International</v>
      </c>
      <c r="D8" t="str">
        <v>For any sort of international order. Additional handling and documentation</v>
      </c>
      <c r="E8" t="str">
        <v>order</v>
      </c>
      <c r="F8">
        <v>21.2</v>
      </c>
      <c r="G8">
        <v>2</v>
      </c>
      <c r="H8">
        <f>G8*F8</f>
        <v>42.4</v>
      </c>
      <c r="K8" t="str">
        <v>July</v>
      </c>
    </row>
    <row r="9">
      <c r="A9" t="str">
        <v>Outbound</v>
      </c>
      <c r="B9" t="str">
        <v>Per Unit Scan</v>
      </c>
      <c r="C9" t="str">
        <v>Per Item</v>
      </c>
      <c r="D9" t="str">
        <v>Non-serial items. Choose per each item or per line. Preference per each</v>
      </c>
      <c r="E9" t="str">
        <v>each</v>
      </c>
      <c r="F9">
        <v>2.12</v>
      </c>
      <c r="G9">
        <v>427</v>
      </c>
      <c r="H9">
        <f>G9*F9</f>
        <v>905.24</v>
      </c>
      <c r="K9" t="str">
        <v>August</v>
      </c>
    </row>
    <row r="10">
      <c r="A10" t="str">
        <v>Outbound</v>
      </c>
      <c r="B10" t="str">
        <v>VAS</v>
      </c>
      <c r="C10" t="str">
        <v>Expedited Outbound</v>
      </c>
      <c r="D10" t="str">
        <v>Surcharge for expedited outbound orders</v>
      </c>
      <c r="E10" t="str">
        <v>surcharge per order</v>
      </c>
      <c r="F10">
        <v>20</v>
      </c>
      <c r="H10">
        <f>G10*F10</f>
        <v>0</v>
      </c>
      <c r="K10" t="str">
        <v>September</v>
      </c>
    </row>
    <row r="11">
      <c r="A11" t="str">
        <v>Outbound</v>
      </c>
      <c r="B11" t="str">
        <v>VAS</v>
      </c>
      <c r="C11" t="str">
        <v>EXWs Handling</v>
      </c>
      <c r="D11" t="str">
        <v>Handover to a pick-up company/person. CMR creation</v>
      </c>
      <c r="E11" t="str">
        <v>surcharge per order</v>
      </c>
      <c r="F11">
        <v>25</v>
      </c>
      <c r="H11">
        <f>G11*F11</f>
        <v>0</v>
      </c>
      <c r="K11" t="str">
        <v>October</v>
      </c>
    </row>
    <row r="12">
      <c r="A12" t="str">
        <v>Storage</v>
      </c>
      <c r="B12" t="str">
        <v>Space</v>
      </c>
      <c r="C12" t="str">
        <v>per area</v>
      </c>
      <c r="D12" t="str">
        <v>Per SqM Per Month</v>
      </c>
      <c r="E12" t="str">
        <v xml:space="preserve"> or month</v>
      </c>
      <c r="F12">
        <v>42.5</v>
      </c>
      <c r="H12">
        <f>G12*F12</f>
        <v>0</v>
      </c>
      <c r="K12" t="str">
        <v>November</v>
      </c>
    </row>
    <row r="13">
      <c r="A13" t="str">
        <v>Storage</v>
      </c>
      <c r="B13" t="str">
        <v>Space</v>
      </c>
      <c r="C13" t="str">
        <v>Minimum Area</v>
      </c>
      <c r="D13" t="str">
        <v>Minimum area charge 10 Pallet  Location or  equivalent  in space</v>
      </c>
      <c r="E13" t="str">
        <v>month</v>
      </c>
      <c r="F13">
        <v>425</v>
      </c>
      <c r="H13">
        <f>G13*F13</f>
        <v>0</v>
      </c>
      <c r="K13" t="str">
        <v>December</v>
      </c>
    </row>
    <row r="14">
      <c r="A14" t="str">
        <v>VAS</v>
      </c>
      <c r="B14" t="str">
        <v>MIR</v>
      </c>
      <c r="C14" t="str">
        <v>Exception case</v>
      </c>
      <c r="D14" t="str">
        <v>For exceptions during inbound or outbound operations,  charged  per  request  in Logivice</v>
      </c>
      <c r="E14" t="str">
        <v>each</v>
      </c>
      <c r="F14">
        <v>20</v>
      </c>
      <c r="H14">
        <f>G14*F14</f>
        <v>0</v>
      </c>
    </row>
    <row r="15">
      <c r="A15" t="str">
        <v>VAS</v>
      </c>
      <c r="B15" t="str">
        <v>Labour</v>
      </c>
      <c r="C15" t="str">
        <v>WH labour hours</v>
      </c>
      <c r="D15" t="str">
        <v>Warehouse labor handling hours</v>
      </c>
      <c r="E15" t="str">
        <v>per hour</v>
      </c>
      <c r="F15">
        <v>22</v>
      </c>
      <c r="H15">
        <f>G15*F15</f>
        <v>0</v>
      </c>
    </row>
    <row r="16">
      <c r="A16" t="str">
        <v>VAS</v>
      </c>
      <c r="B16" t="str">
        <v>Labour</v>
      </c>
      <c r="C16" t="str">
        <v>CS/Admin labor hours</v>
      </c>
      <c r="D16" t="str">
        <v>Customer service or administrative labor hours</v>
      </c>
      <c r="E16" t="str">
        <v>per hour</v>
      </c>
      <c r="F16">
        <v>95.4</v>
      </c>
      <c r="H16">
        <f>G16*F16</f>
        <v>0</v>
      </c>
    </row>
    <row r="17">
      <c r="A17" t="str">
        <v>VAS</v>
      </c>
      <c r="B17" t="str">
        <v>Labour</v>
      </c>
      <c r="C17" t="str">
        <v>Pick-Up Request</v>
      </c>
      <c r="D17" t="str">
        <v>Coordinating pick-ups from non-warehouse locations to specified destinations.</v>
      </c>
      <c r="E17" t="str">
        <v>Per Request</v>
      </c>
      <c r="F17">
        <v>12</v>
      </c>
      <c r="H17">
        <f>G17*F17</f>
        <v>0</v>
      </c>
    </row>
    <row r="18">
      <c r="A18" t="str">
        <v>VAS</v>
      </c>
      <c r="B18" t="str">
        <v>Handling and Materials</v>
      </c>
      <c r="C18" t="str">
        <v>Repacking, sorting or restacking</v>
      </c>
      <c r="D18" t="str">
        <v>Repacking, sorting, or restacking per case</v>
      </c>
      <c r="E18" t="str">
        <v>case</v>
      </c>
      <c r="F18">
        <v>3.18</v>
      </c>
      <c r="H18">
        <f>G18*F18</f>
        <v>0</v>
      </c>
    </row>
    <row r="19">
      <c r="A19" t="str">
        <v>VAS</v>
      </c>
      <c r="B19" t="str">
        <v>Handling and Materials</v>
      </c>
      <c r="C19" t="str">
        <v>Materials</v>
      </c>
      <c r="D19" t="str">
        <v>Additional materials usage or procurement</v>
      </c>
      <c r="E19" t="str">
        <v>Cost +12%</v>
      </c>
      <c r="F19">
        <v>12.5</v>
      </c>
      <c r="H19">
        <f>G19*F19*1.12</f>
        <v>0</v>
      </c>
    </row>
    <row r="20">
      <c r="A20" t="str">
        <v>VAS</v>
      </c>
      <c r="B20" t="str">
        <v>Handling and Materials</v>
      </c>
      <c r="C20" t="str">
        <v>Labelling</v>
      </c>
      <c r="D20" t="str">
        <v>Per unit labeling or sticker</v>
      </c>
      <c r="E20" t="str">
        <v>each</v>
      </c>
      <c r="F20">
        <v>1.5</v>
      </c>
      <c r="H20">
        <f>G20*F20</f>
        <v>0</v>
      </c>
    </row>
    <row r="21">
      <c r="A21" t="str">
        <v>Management</v>
      </c>
      <c r="B21" t="str">
        <v>Miscellaneous</v>
      </c>
      <c r="C21" t="str">
        <v>Manual Order creation</v>
      </c>
      <c r="D21" t="str">
        <v>Per order for manual order creation or update</v>
      </c>
      <c r="E21" t="str">
        <v>order</v>
      </c>
      <c r="F21">
        <v>48</v>
      </c>
      <c r="H21">
        <f>G21*F21</f>
        <v>0</v>
      </c>
    </row>
    <row r="22">
      <c r="A22" t="str">
        <v>Management</v>
      </c>
      <c r="B22" t="str">
        <v>Miscellaneous</v>
      </c>
      <c r="C22" t="str">
        <v>Order cancellation</v>
      </c>
      <c r="D22" t="str">
        <v>Per order for order cancellation</v>
      </c>
      <c r="E22" t="str">
        <v>order</v>
      </c>
      <c r="F22">
        <v>32</v>
      </c>
      <c r="H22">
        <f>G22*F22</f>
        <v>0</v>
      </c>
    </row>
    <row r="23">
      <c r="A23" t="str">
        <v>Management</v>
      </c>
      <c r="B23" t="str">
        <v>Miscellaneous</v>
      </c>
      <c r="C23" t="str">
        <v>3rd party courier account</v>
      </c>
      <c r="D23" t="str">
        <v>Per label created by Unilog/warehouse team on customer’s or other accounts</v>
      </c>
      <c r="E23" t="str">
        <v>label</v>
      </c>
      <c r="F23">
        <v>10.6</v>
      </c>
      <c r="H23">
        <f>G23*F23</f>
        <v>0</v>
      </c>
    </row>
    <row r="24">
      <c r="A24" t="str">
        <v>Management</v>
      </c>
      <c r="B24" t="str">
        <v>Miscellaneous</v>
      </c>
      <c r="C24" t="str">
        <v>Extra Documentation</v>
      </c>
      <c r="D24" t="str">
        <v>Extra set of documents creation and approval</v>
      </c>
      <c r="E24" t="str">
        <v>set</v>
      </c>
      <c r="F24">
        <v>25</v>
      </c>
      <c r="H24">
        <f>G24*F24</f>
        <v>0</v>
      </c>
    </row>
    <row r="25">
      <c r="A25" t="str">
        <v>Management</v>
      </c>
      <c r="B25" t="str">
        <v>IT Programming</v>
      </c>
      <c r="C25" t="str">
        <v>System development</v>
      </c>
      <c r="D25" t="str">
        <v>Per development team hour</v>
      </c>
      <c r="E25" t="str">
        <v>per hour</v>
      </c>
      <c r="F25">
        <v>155</v>
      </c>
      <c r="H25">
        <f>G25*F25</f>
        <v>0</v>
      </c>
    </row>
    <row r="26">
      <c r="A26" t="str">
        <v>Management</v>
      </c>
      <c r="B26" t="str">
        <v>Management fee</v>
      </c>
      <c r="C26" t="str">
        <v>Account administration</v>
      </c>
      <c r="D26" t="str">
        <v>Monthly fee for supply chain administration, interfacing, and reporting</v>
      </c>
      <c r="E26" t="str">
        <v>month</v>
      </c>
      <c r="F26">
        <v>400</v>
      </c>
      <c r="H26">
        <f>G26*F26</f>
        <v>0</v>
      </c>
    </row>
    <row r="27">
      <c r="A27" t="str">
        <v>GTS</v>
      </c>
      <c r="B27" t="str">
        <v>Customs formalities and GTS</v>
      </c>
      <c r="C27" t="str">
        <v>IOR/EOR transaction incl. clearance</v>
      </c>
      <c r="D27" t="str">
        <v>per clearance + IOR/EOR fee</v>
      </c>
      <c r="E27" t="str">
        <v>Per Entry</v>
      </c>
      <c r="F27">
        <v>115</v>
      </c>
      <c r="H27">
        <f>G27*F27</f>
        <v>0</v>
      </c>
    </row>
    <row r="28">
      <c r="A28" t="str">
        <v>Genral</v>
      </c>
      <c r="B28" t="str">
        <v>Genral</v>
      </c>
      <c r="C28" t="str">
        <v>COURIER FEES</v>
      </c>
      <c r="D28" t="str">
        <v>COURIER FEES</v>
      </c>
      <c r="H28">
        <f>'[1]COURIER FEES'!I27</f>
        <v>556</v>
      </c>
    </row>
    <row r="29">
      <c r="A29" t="str">
        <v>Genral</v>
      </c>
      <c r="B29" t="str">
        <v>Genral</v>
      </c>
      <c r="C29" t="str">
        <v>Credit</v>
      </c>
      <c r="H29">
        <f>G29*F29</f>
        <v>0</v>
      </c>
    </row>
    <row r="30">
      <c r="G30" t="str">
        <v>Total</v>
      </c>
      <c r="H30">
        <f>SUM(H4:H29)</f>
        <v>556</v>
      </c>
    </row>
  </sheetData>
  <pageMargins left="0.7" right="0.7" top="0.75" bottom="0.75" header="0.3" footer="0.3"/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2026-03-30T13:04:41Z</dcterms:created>
  <dcterms:modified xsi:type="dcterms:W3CDTF">2026-03-30T13:06:12Z</dcterms:modified>
  <cp:lastModifiedBy>Jacob Nathan Barak</cp:lastModifiedBy>
  <dc:creator>Jacob Nathan Barak</dc:creator>
</cp:coreProperties>
</file>